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mplifygrowth-my.sharepoint.com/personal/anujeet_kaur_phronesis-partners_com/Documents/APQC/2025 Updates/"/>
    </mc:Choice>
  </mc:AlternateContent>
  <xr:revisionPtr revIDLastSave="57" documentId="13_ncr:1_{D0F344C1-6BA9-454C-9497-B99987BF090A}" xr6:coauthVersionLast="47" xr6:coauthVersionMax="47" xr10:uidLastSave="{A920EA58-78F0-432F-B17A-11F1462CFB8F}"/>
  <bookViews>
    <workbookView xWindow="-108" yWindow="-108" windowWidth="23256" windowHeight="13896" firstSheet="1" activeTab="1" xr2:uid="{5144C467-7946-40E3-A9E9-0A2A59230EB0}"/>
  </bookViews>
  <sheets>
    <sheet name="Cover Page" sheetId="5" r:id="rId1"/>
    <sheet name="Live Projects" sheetId="1" r:id="rId2"/>
    <sheet name="Projects Yet to be Started" sheetId="2" r:id="rId3"/>
    <sheet name="Upcoming Projects" sheetId="3" r:id="rId4"/>
    <sheet name="Deliverable Status" sheetId="6" r:id="rId5"/>
    <sheet name="Closed Projects" sheetId="4" r:id="rId6"/>
  </sheets>
  <definedNames>
    <definedName name="_xlnm._FilterDatabase" localSheetId="5" hidden="1">'Closed Projects'!$A$1:$J$44</definedName>
    <definedName name="_xlnm._FilterDatabase" localSheetId="4" hidden="1">'Deliverable Status'!$A$1:$I$87</definedName>
    <definedName name="_xlnm._FilterDatabase" localSheetId="1" hidden="1">'Live Projects'!$A$1:$O$9</definedName>
    <definedName name="_xlnm._FilterDatabase" localSheetId="3" hidden="1">'Upcoming Projects'!$A$1:$I$8</definedName>
    <definedName name="_xlnm.Print_Area" localSheetId="0">'Cover Page'!$A$1:$M$22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6" l="1"/>
  <c r="L3" i="6"/>
  <c r="M13" i="1"/>
  <c r="M9" i="1"/>
  <c r="M12" i="1"/>
  <c r="M11" i="1"/>
  <c r="M10" i="1"/>
  <c r="M8" i="1"/>
  <c r="M3" i="1" l="1"/>
  <c r="M7" i="1" l="1"/>
  <c r="M6" i="1" l="1"/>
  <c r="M5" i="1"/>
  <c r="M4" i="1"/>
  <c r="M2" i="1" l="1"/>
</calcChain>
</file>

<file path=xl/sharedStrings.xml><?xml version="1.0" encoding="utf-8"?>
<sst xmlns="http://schemas.openxmlformats.org/spreadsheetml/2006/main" count="1004" uniqueCount="243">
  <si>
    <t>Sr. No.</t>
  </si>
  <si>
    <t>Proposal Code</t>
  </si>
  <si>
    <t>Custom/SOW/RS/Internal/Advisory</t>
  </si>
  <si>
    <t>Project Name</t>
  </si>
  <si>
    <t>APQC POC</t>
  </si>
  <si>
    <t>Start Date</t>
  </si>
  <si>
    <t>End Date</t>
  </si>
  <si>
    <t>Current Stage</t>
  </si>
  <si>
    <t>Immediate Next Milestone</t>
  </si>
  <si>
    <t>Ownership</t>
  </si>
  <si>
    <t>Target # of Submissions</t>
  </si>
  <si>
    <t>Achieved # of Submissions Till Date</t>
  </si>
  <si>
    <t>Remaining # of Submissions</t>
  </si>
  <si>
    <t>Dependencies on APQC</t>
  </si>
  <si>
    <t>Open Items</t>
  </si>
  <si>
    <t>PPPAA-305</t>
  </si>
  <si>
    <t>Custom</t>
  </si>
  <si>
    <t>2025 Custom Finance Study</t>
  </si>
  <si>
    <t>Jonathan Kraft</t>
  </si>
  <si>
    <t>In-field</t>
  </si>
  <si>
    <t>Phronesis</t>
  </si>
  <si>
    <t>None</t>
  </si>
  <si>
    <t>PPPAA-317</t>
  </si>
  <si>
    <t>2025 SG&amp;A Study</t>
  </si>
  <si>
    <t>TBD</t>
  </si>
  <si>
    <t>PPPAA-225</t>
  </si>
  <si>
    <t>2025 Custom Tax Survey Extension</t>
  </si>
  <si>
    <t>Completed</t>
  </si>
  <si>
    <t>Awaiting feedback on final deliverable</t>
  </si>
  <si>
    <t>PPPAA-262_1</t>
  </si>
  <si>
    <t>SOW</t>
  </si>
  <si>
    <t>AI in Thought Leadership Consumer Study</t>
  </si>
  <si>
    <t>PPPAA-262</t>
  </si>
  <si>
    <t>AI in Thought Leadership Producer Study</t>
  </si>
  <si>
    <t>PPPAA-319</t>
  </si>
  <si>
    <t>Internal</t>
  </si>
  <si>
    <t>Bounty Hunter - Sales and Marketing</t>
  </si>
  <si>
    <t>PPPAA-282</t>
  </si>
  <si>
    <t>HR Organization Study</t>
  </si>
  <si>
    <t>PPPAA-292</t>
  </si>
  <si>
    <t>Bundle 3 - 2025 Strategic Portfolio Management</t>
  </si>
  <si>
    <t>PPPAA-247</t>
  </si>
  <si>
    <t>2025 Customer Strategy Study</t>
  </si>
  <si>
    <t>Set-Up</t>
  </si>
  <si>
    <t>PPPAA-324</t>
  </si>
  <si>
    <t>RS</t>
  </si>
  <si>
    <t>Knowledge and Process Productivity</t>
  </si>
  <si>
    <t>Benjamin Knoll</t>
  </si>
  <si>
    <t>APQC</t>
  </si>
  <si>
    <t>Custom/SOW/RS/Internal</t>
  </si>
  <si>
    <t>Bundle Project - 4</t>
  </si>
  <si>
    <t>This year</t>
  </si>
  <si>
    <t>Bundle Project - 5</t>
  </si>
  <si>
    <t>Bundle Project - 6</t>
  </si>
  <si>
    <t>Next year</t>
  </si>
  <si>
    <t>Bundle Project - 7</t>
  </si>
  <si>
    <t>PPPAA-296</t>
  </si>
  <si>
    <t>2025 Cloud Modernization Study</t>
  </si>
  <si>
    <t>December or February</t>
  </si>
  <si>
    <t>PPPAA-297</t>
  </si>
  <si>
    <t>Sales and Commerce Study</t>
  </si>
  <si>
    <t>PPPAA-298</t>
  </si>
  <si>
    <t>Application Development</t>
  </si>
  <si>
    <t>PPPAA-299</t>
  </si>
  <si>
    <t>Asset Management - Industrial</t>
  </si>
  <si>
    <t>PPPAA-300</t>
  </si>
  <si>
    <t>Asset Management - Real Estates</t>
  </si>
  <si>
    <t>PPPAA-302</t>
  </si>
  <si>
    <t>Talent Acquisition</t>
  </si>
  <si>
    <t>PPPAA-309</t>
  </si>
  <si>
    <t>Field Service Study</t>
  </si>
  <si>
    <t>PPPAA-314</t>
  </si>
  <si>
    <t>2025 Data Services AI Study</t>
  </si>
  <si>
    <t>PPPAA-333</t>
  </si>
  <si>
    <t>Bounty Hunter Survey - Planning and Logistics</t>
  </si>
  <si>
    <t>PPPAA-259</t>
  </si>
  <si>
    <t>2024 Sales Performance Survey - B2B Focused</t>
  </si>
  <si>
    <t>SOW Submission Date</t>
  </si>
  <si>
    <t>n=</t>
  </si>
  <si>
    <t>Current Status/Last Comment</t>
  </si>
  <si>
    <t>NA</t>
  </si>
  <si>
    <t>Functional Headcount and Cost Benchmarking</t>
  </si>
  <si>
    <t>Shared assessment, awaiting confirmation from APQC</t>
  </si>
  <si>
    <t>Main phase to be confirmed</t>
  </si>
  <si>
    <t>HR Metrics in Retail</t>
  </si>
  <si>
    <t>Cathy is working on this</t>
  </si>
  <si>
    <t>PPPAA-289</t>
  </si>
  <si>
    <t>Custom Procurement Study</t>
  </si>
  <si>
    <t>Op1: 800
Op2: 400</t>
  </si>
  <si>
    <t>In discussion with the client</t>
  </si>
  <si>
    <t>PPPAA-290</t>
  </si>
  <si>
    <t>Custom Product Test Assemble Study</t>
  </si>
  <si>
    <t>Op1: 264
Op2: 132</t>
  </si>
  <si>
    <t>PPPAA-291</t>
  </si>
  <si>
    <t>Custom Supply Chain Study</t>
  </si>
  <si>
    <t>PPPAA-321</t>
  </si>
  <si>
    <t>Custom Functional Pricing (study across 9 functions)</t>
  </si>
  <si>
    <t>PPPAA-322</t>
  </si>
  <si>
    <t>Custom Retail Supply Chain study</t>
  </si>
  <si>
    <t>Option 1:  3 European countries with an N of 6 for each and 6 for each of the following:  US, Canada, ANZ, China, Japan, and Korea for a total  of 54
Option 2:  6 from Europe as a whole region and 6 from each of the following: US, Canada, ANZ, China, Japan, and Korea for a total of 42</t>
  </si>
  <si>
    <t>Small Custom Study - Banking</t>
  </si>
  <si>
    <t>PPPAA-325</t>
  </si>
  <si>
    <t>Custom- Justice Department Finance Study</t>
  </si>
  <si>
    <t>Sent to client for signature</t>
  </si>
  <si>
    <t>PPPAA-328</t>
  </si>
  <si>
    <t>Custom Top of Mind-Tariff Study</t>
  </si>
  <si>
    <t>Option 1:250
Option 2:600</t>
  </si>
  <si>
    <t>PPAA-329</t>
  </si>
  <si>
    <t xml:space="preserve">Category Spend Benchmarks </t>
  </si>
  <si>
    <t>PPPAA-330</t>
  </si>
  <si>
    <t>Accounts Payable and Expenses Study</t>
  </si>
  <si>
    <t>PPPAA-331</t>
  </si>
  <si>
    <t>Business Application Management</t>
  </si>
  <si>
    <t>PPPAA-332</t>
  </si>
  <si>
    <t>AI Impact in Finance</t>
  </si>
  <si>
    <t>PPPAA-334</t>
  </si>
  <si>
    <t>Custom Project - Telecom Study</t>
  </si>
  <si>
    <t>PPPAA-335</t>
  </si>
  <si>
    <t>RE: Custom Study - Utilities 
(same group as the telecom study)</t>
  </si>
  <si>
    <t>PPPAA-336</t>
  </si>
  <si>
    <t>RE: Custom Study - Manufacturing 
(same group as the telecom study)</t>
  </si>
  <si>
    <t>Phronesis PM</t>
  </si>
  <si>
    <t>Deliverable Stage</t>
  </si>
  <si>
    <t>Due Date</t>
  </si>
  <si>
    <t>Delivered On</t>
  </si>
  <si>
    <t>EST Delivery Time</t>
  </si>
  <si>
    <t>Status</t>
  </si>
  <si>
    <t>%</t>
  </si>
  <si>
    <t>Bounty Hunter Survey FM (General Accounting and Reporting and AP)</t>
  </si>
  <si>
    <t>Vishal Talwar</t>
  </si>
  <si>
    <t>Interim</t>
  </si>
  <si>
    <t>N-2 (Before Due Date)</t>
  </si>
  <si>
    <t>Ontime (or before due date)</t>
  </si>
  <si>
    <t>2025 Supply Chain Planning</t>
  </si>
  <si>
    <t>Pilot</t>
  </si>
  <si>
    <t>Delayed</t>
  </si>
  <si>
    <t>Delayed (or after due date)</t>
  </si>
  <si>
    <t>2025 Marketing for Life Sciences Study</t>
  </si>
  <si>
    <t>Ravi Sharma</t>
  </si>
  <si>
    <t>N-1 (Before Due Date)</t>
  </si>
  <si>
    <t>HR Shared Services Study 2025</t>
  </si>
  <si>
    <t>On Time</t>
  </si>
  <si>
    <t>2025 Talent Management Study</t>
  </si>
  <si>
    <t>Final</t>
  </si>
  <si>
    <t>Generative AI Impact Study</t>
  </si>
  <si>
    <t>Cash Flow Practices Study</t>
  </si>
  <si>
    <t>Diksha Srivastava</t>
  </si>
  <si>
    <t>Bundle 1 - 2025 Customer Service Management</t>
  </si>
  <si>
    <t>Manmeet Kapoor</t>
  </si>
  <si>
    <t>SCM Analytics and Data Management Study</t>
  </si>
  <si>
    <t>2025 Performance Management</t>
  </si>
  <si>
    <t>2025 Custom Supply Chain Study</t>
  </si>
  <si>
    <t>2025 Cross Functional Benchmarks Study (Pilot)</t>
  </si>
  <si>
    <t>Strategic Planning and Organizational Ability</t>
  </si>
  <si>
    <t>Shivangi Bhasin</t>
  </si>
  <si>
    <t>Procure to Pay 2025</t>
  </si>
  <si>
    <t>2025 Finance Organization Study</t>
  </si>
  <si>
    <t>2025 Product Innovation OEM Automotive Study</t>
  </si>
  <si>
    <t>2025 KM Retirement Planning Study</t>
  </si>
  <si>
    <t>Bounty Hunter-HCM Recruiting, Onboard, and Employee Analytics Study</t>
  </si>
  <si>
    <t>Bundle 2 - 2025 Field Service Management</t>
  </si>
  <si>
    <t>Custom/SOW</t>
  </si>
  <si>
    <t>PPPAA-264</t>
  </si>
  <si>
    <t>Bounty Hunter Survey - Reward and Retain</t>
  </si>
  <si>
    <t>PPPAA-237</t>
  </si>
  <si>
    <t>2024 Procurement Study</t>
  </si>
  <si>
    <t>PPPAA-205</t>
  </si>
  <si>
    <t>Bundle Functional Leadership Projects-Project-7-2024 Legal Management</t>
  </si>
  <si>
    <t>PPPAA-270</t>
  </si>
  <si>
    <t>Onboarding Study</t>
  </si>
  <si>
    <t>PPPAA-275</t>
  </si>
  <si>
    <t>Advisory</t>
  </si>
  <si>
    <t>Innovation in Banks - Pilot Phase</t>
  </si>
  <si>
    <t>Matthew Zacher</t>
  </si>
  <si>
    <t>PPPAA-244</t>
  </si>
  <si>
    <t>AI in Customer Service</t>
  </si>
  <si>
    <t>PPPAA-232</t>
  </si>
  <si>
    <t>Product Development Study</t>
  </si>
  <si>
    <t>Bundle Functional Leadership Projects-Project-8 and 9-Integrated Risk Management</t>
  </si>
  <si>
    <t>Bundle Functional Leadership Projects-Project-10-IT Service Management</t>
  </si>
  <si>
    <t>Big Data - ESG - II</t>
  </si>
  <si>
    <t>PPPAA-269</t>
  </si>
  <si>
    <t>HR Function Blueprint Study</t>
  </si>
  <si>
    <t>PPPAA-253</t>
  </si>
  <si>
    <t>Inspection Programs Benchmarking Study</t>
  </si>
  <si>
    <t>2025 Custom Tax Survey</t>
  </si>
  <si>
    <t>PPPAA-203</t>
  </si>
  <si>
    <t>2024 IT Risk &amp; Security Survey</t>
  </si>
  <si>
    <t>PPPAA-224</t>
  </si>
  <si>
    <t>IT Organization</t>
  </si>
  <si>
    <t>PPPAA-279</t>
  </si>
  <si>
    <t>Police Departments Study</t>
  </si>
  <si>
    <t xml:space="preserve">PPPAA-268 </t>
  </si>
  <si>
    <t>Bounty Hunter Survey - 2024 IT General Organization</t>
  </si>
  <si>
    <t>Innovation in Banks</t>
  </si>
  <si>
    <t>PPPAA-273</t>
  </si>
  <si>
    <t>2025 Financial Planning &amp; Analysis</t>
  </si>
  <si>
    <t>PPPAA-285</t>
  </si>
  <si>
    <t>2025 Product Innovation Study</t>
  </si>
  <si>
    <t>PPPAA-286</t>
  </si>
  <si>
    <t>PPPAA-260</t>
  </si>
  <si>
    <t>2024 Marketing Performance Survey</t>
  </si>
  <si>
    <t>PPPAA-272</t>
  </si>
  <si>
    <t>AI in Marketing Study</t>
  </si>
  <si>
    <t>PPPAA-288</t>
  </si>
  <si>
    <t>PPPAA-293</t>
  </si>
  <si>
    <t>PPPAA-274</t>
  </si>
  <si>
    <t>PPPAA-295</t>
  </si>
  <si>
    <t>PPPAA-278</t>
  </si>
  <si>
    <t>PPPAA-256</t>
  </si>
  <si>
    <t>PPPAA-280</t>
  </si>
  <si>
    <t>PPPAA-301</t>
  </si>
  <si>
    <t>PPPAA-310</t>
  </si>
  <si>
    <t>PPPAA-303</t>
  </si>
  <si>
    <t>PPPAA-311</t>
  </si>
  <si>
    <t>PPPAA-284</t>
  </si>
  <si>
    <t>PPPAA-313</t>
  </si>
  <si>
    <t>PPPAA-283</t>
  </si>
  <si>
    <t>PPPAA-316</t>
  </si>
  <si>
    <t>PPPAA-281</t>
  </si>
  <si>
    <t>Share interim deliverable on 6th November</t>
  </si>
  <si>
    <t>Awaiting feedback on test link</t>
  </si>
  <si>
    <t>Custom AI Study</t>
  </si>
  <si>
    <t>TBF</t>
  </si>
  <si>
    <t>PPPAA-337</t>
  </si>
  <si>
    <t>Q1' 2026</t>
  </si>
  <si>
    <t>Q2' 2026</t>
  </si>
  <si>
    <t>Launch fieldwork</t>
  </si>
  <si>
    <t>PPPAA-338</t>
  </si>
  <si>
    <t>PPPAA-339</t>
  </si>
  <si>
    <t>FM 2026 Priorities and Challenges Survey</t>
  </si>
  <si>
    <t>SCM 2026 Priorities and Challenges Survey</t>
  </si>
  <si>
    <t>PPPAA-340</t>
  </si>
  <si>
    <t>Custom Pharma Pricing [Repeat client]</t>
  </si>
  <si>
    <t>Q4' 2025 or Q1' 2026</t>
  </si>
  <si>
    <t>PPPAA-341</t>
  </si>
  <si>
    <t>Custom Private Banking Clients and Wealth Management Clients</t>
  </si>
  <si>
    <t>SPG early next week</t>
  </si>
  <si>
    <t>Share final deliverable on 30th October</t>
  </si>
  <si>
    <t>Launch fieldwork on 3rd November</t>
  </si>
  <si>
    <t>8 completes</t>
  </si>
  <si>
    <t>Share pilot deliverable on 4th November</t>
  </si>
  <si>
    <t>Final link for the FM survey for internal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</si>
</sst>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18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5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4697</xdr:colOff>
      <xdr:row>21</xdr:row>
      <xdr:rowOff>168088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39AED9-394D-F902-BB14-F3C11A7FF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35050" cy="41685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20952</xdr:rowOff>
    </xdr:from>
    <xdr:to>
      <xdr:col>5</xdr:col>
      <xdr:colOff>182705</xdr:colOff>
      <xdr:row>6</xdr:row>
      <xdr:rowOff>91109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6D3DA84-D3DE-8A33-C58D-7D5F2AB08D8C}"/>
            </a:ext>
          </a:extLst>
        </xdr:cNvPr>
        <xdr:cNvSpPr/>
      </xdr:nvSpPr>
      <xdr:spPr>
        <a:xfrm>
          <a:off x="0" y="782952"/>
          <a:ext cx="3247270" cy="4511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rgbClr val="0070C0"/>
              </a:solidFill>
              <a:latin typeface="+mj-lt"/>
            </a:rPr>
            <a:t>APQC</a:t>
          </a:r>
          <a:r>
            <a:rPr lang="en-GB" sz="2000" b="1" baseline="0">
              <a:solidFill>
                <a:srgbClr val="0070C0"/>
              </a:solidFill>
              <a:latin typeface="+mj-lt"/>
            </a:rPr>
            <a:t> Project Status Report</a:t>
          </a:r>
          <a:endParaRPr lang="en-GB" sz="2000" b="1">
            <a:solidFill>
              <a:srgbClr val="0070C0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58D4-C31B-49C1-A7A2-99D98DF32EB3}">
  <dimension ref="A1"/>
  <sheetViews>
    <sheetView view="pageBreakPreview" zoomScale="85" zoomScaleNormal="100" zoomScaleSheetLayoutView="85" workbookViewId="0">
      <selection activeCell="E1" sqref="E1"/>
    </sheetView>
  </sheetViews>
  <sheetFormatPr defaultColWidth="9.21875" defaultRowHeight="14.4" x14ac:dyDescent="0.3"/>
  <cols>
    <col min="1" max="12" width="9.21875" style="2"/>
    <col min="13" max="13" width="4" style="2" customWidth="1"/>
    <col min="14" max="16384" width="9.21875" style="2"/>
  </cols>
  <sheetData/>
  <pageMargins left="0.7" right="0.7" top="0.75" bottom="0.75" header="0.3" footer="0.3"/>
  <pageSetup orientation="portrait" horizontalDpi="4294967293" r:id="rId1"/>
  <customProperties>
    <customPr name="LastActive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6989-4CA7-456C-A45D-479CF8966DA1}">
  <dimension ref="A1:P13"/>
  <sheetViews>
    <sheetView tabSelected="1" zoomScale="85" zoomScaleNormal="85" zoomScaleSheetLayoutView="115" workbookViewId="0">
      <pane xSplit="5" ySplit="1" topLeftCell="F2" activePane="bottomRight" state="frozen"/>
      <selection pane="topRight" activeCell="F15" sqref="F15"/>
      <selection pane="bottomLeft" activeCell="F15" sqref="F15"/>
      <selection pane="bottomRight"/>
    </sheetView>
  </sheetViews>
  <sheetFormatPr defaultColWidth="9.21875" defaultRowHeight="14.4" x14ac:dyDescent="0.3"/>
  <cols>
    <col min="1" max="1" width="6.77734375" style="6" bestFit="1" customWidth="1"/>
    <col min="2" max="2" width="13.77734375" style="6" bestFit="1" customWidth="1"/>
    <col min="3" max="3" width="13.77734375" style="6" customWidth="1"/>
    <col min="4" max="4" width="28.5546875" style="6" customWidth="1"/>
    <col min="5" max="5" width="16.21875" style="6" bestFit="1" customWidth="1"/>
    <col min="6" max="6" width="29.77734375" style="6" bestFit="1" customWidth="1"/>
    <col min="7" max="7" width="32.5546875" style="6" bestFit="1" customWidth="1"/>
    <col min="8" max="8" width="13.21875" style="6" bestFit="1" customWidth="1"/>
    <col min="9" max="9" width="30.44140625" style="6" bestFit="1" customWidth="1"/>
    <col min="10" max="10" width="11.77734375" style="6" bestFit="1" customWidth="1"/>
    <col min="11" max="11" width="22.21875" style="6" bestFit="1" customWidth="1"/>
    <col min="12" max="12" width="22.5546875" style="6" bestFit="1" customWidth="1"/>
    <col min="13" max="13" width="22.5546875" style="6" customWidth="1"/>
    <col min="14" max="14" width="31.21875" style="6" customWidth="1"/>
    <col min="15" max="15" width="28.77734375" style="6" customWidth="1"/>
    <col min="16" max="19" width="9.21875" style="6"/>
    <col min="20" max="20" width="11.77734375" style="6" bestFit="1" customWidth="1"/>
    <col min="21" max="16384" width="9.21875" style="6"/>
  </cols>
  <sheetData>
    <row r="1" spans="1:16" s="3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ht="28.8" x14ac:dyDescent="0.3">
      <c r="A2" s="4">
        <v>1</v>
      </c>
      <c r="B2" s="9" t="s">
        <v>15</v>
      </c>
      <c r="C2" s="9" t="s">
        <v>16</v>
      </c>
      <c r="D2" s="4" t="s">
        <v>17</v>
      </c>
      <c r="E2" s="9" t="s">
        <v>18</v>
      </c>
      <c r="F2" s="5">
        <v>45813</v>
      </c>
      <c r="G2" s="5">
        <v>45930</v>
      </c>
      <c r="H2" s="4" t="s">
        <v>27</v>
      </c>
      <c r="I2" s="4" t="s">
        <v>21</v>
      </c>
      <c r="J2" s="4" t="s">
        <v>20</v>
      </c>
      <c r="K2" s="4">
        <v>70</v>
      </c>
      <c r="L2" s="4">
        <v>70</v>
      </c>
      <c r="M2" s="4">
        <f t="shared" ref="M2:M3" si="0">K2-L2</f>
        <v>0</v>
      </c>
      <c r="N2" s="4" t="s">
        <v>21</v>
      </c>
      <c r="O2" s="4" t="s">
        <v>28</v>
      </c>
      <c r="P2" s="10"/>
    </row>
    <row r="3" spans="1:16" ht="28.8" x14ac:dyDescent="0.3">
      <c r="A3" s="4">
        <v>2</v>
      </c>
      <c r="B3" s="9" t="s">
        <v>22</v>
      </c>
      <c r="C3" s="9" t="s">
        <v>16</v>
      </c>
      <c r="D3" s="4" t="s">
        <v>23</v>
      </c>
      <c r="E3" s="9" t="s">
        <v>18</v>
      </c>
      <c r="F3" s="5">
        <v>45855</v>
      </c>
      <c r="G3" s="5">
        <v>46007</v>
      </c>
      <c r="H3" s="4" t="s">
        <v>19</v>
      </c>
      <c r="I3" s="4" t="s">
        <v>220</v>
      </c>
      <c r="J3" s="4" t="s">
        <v>20</v>
      </c>
      <c r="K3" s="4">
        <v>70</v>
      </c>
      <c r="L3" s="4">
        <v>24</v>
      </c>
      <c r="M3" s="4">
        <f t="shared" si="0"/>
        <v>46</v>
      </c>
      <c r="N3" s="4" t="s">
        <v>21</v>
      </c>
      <c r="O3" s="4" t="s">
        <v>21</v>
      </c>
      <c r="P3" s="10"/>
    </row>
    <row r="4" spans="1:16" ht="28.8" x14ac:dyDescent="0.3">
      <c r="A4" s="4">
        <v>3</v>
      </c>
      <c r="B4" s="9" t="s">
        <v>29</v>
      </c>
      <c r="C4" s="9" t="s">
        <v>30</v>
      </c>
      <c r="D4" s="4" t="s">
        <v>31</v>
      </c>
      <c r="E4" s="9" t="s">
        <v>18</v>
      </c>
      <c r="F4" s="5">
        <v>45868</v>
      </c>
      <c r="G4" s="5">
        <v>45925</v>
      </c>
      <c r="H4" s="4" t="s">
        <v>27</v>
      </c>
      <c r="I4" s="4" t="s">
        <v>21</v>
      </c>
      <c r="J4" s="4" t="s">
        <v>20</v>
      </c>
      <c r="K4" s="4">
        <v>1000</v>
      </c>
      <c r="L4" s="4">
        <v>1000</v>
      </c>
      <c r="M4" s="4">
        <f t="shared" ref="M4:M9" si="1">K4-L4</f>
        <v>0</v>
      </c>
      <c r="N4" s="4" t="s">
        <v>21</v>
      </c>
      <c r="O4" s="4" t="s">
        <v>28</v>
      </c>
      <c r="P4" s="10"/>
    </row>
    <row r="5" spans="1:16" ht="28.8" x14ac:dyDescent="0.3">
      <c r="A5" s="4">
        <v>4</v>
      </c>
      <c r="B5" s="9" t="s">
        <v>32</v>
      </c>
      <c r="C5" s="9" t="s">
        <v>30</v>
      </c>
      <c r="D5" s="4" t="s">
        <v>33</v>
      </c>
      <c r="E5" s="9" t="s">
        <v>18</v>
      </c>
      <c r="F5" s="5">
        <v>45875</v>
      </c>
      <c r="G5" s="5">
        <v>45967</v>
      </c>
      <c r="H5" s="4" t="s">
        <v>19</v>
      </c>
      <c r="I5" s="4" t="s">
        <v>238</v>
      </c>
      <c r="J5" s="4" t="s">
        <v>20</v>
      </c>
      <c r="K5" s="4">
        <v>350</v>
      </c>
      <c r="L5" s="4">
        <v>205</v>
      </c>
      <c r="M5" s="4">
        <f t="shared" si="1"/>
        <v>145</v>
      </c>
      <c r="N5" s="4" t="s">
        <v>21</v>
      </c>
      <c r="O5" s="4" t="s">
        <v>21</v>
      </c>
      <c r="P5" s="10" t="s">
        <v>240</v>
      </c>
    </row>
    <row r="6" spans="1:16" ht="28.8" x14ac:dyDescent="0.3">
      <c r="A6" s="4">
        <v>5</v>
      </c>
      <c r="B6" s="9" t="s">
        <v>34</v>
      </c>
      <c r="C6" s="9" t="s">
        <v>35</v>
      </c>
      <c r="D6" s="4" t="s">
        <v>36</v>
      </c>
      <c r="E6" s="9" t="s">
        <v>18</v>
      </c>
      <c r="F6" s="5">
        <v>45887</v>
      </c>
      <c r="G6" s="5">
        <v>45940</v>
      </c>
      <c r="H6" s="4" t="s">
        <v>27</v>
      </c>
      <c r="I6" s="4" t="s">
        <v>21</v>
      </c>
      <c r="J6" s="4" t="s">
        <v>20</v>
      </c>
      <c r="K6" s="4">
        <v>268</v>
      </c>
      <c r="L6" s="4">
        <v>268</v>
      </c>
      <c r="M6" s="4">
        <f t="shared" si="1"/>
        <v>0</v>
      </c>
      <c r="N6" s="4" t="s">
        <v>21</v>
      </c>
      <c r="O6" s="4" t="s">
        <v>28</v>
      </c>
      <c r="P6" s="10"/>
    </row>
    <row r="7" spans="1:16" ht="28.8" x14ac:dyDescent="0.3">
      <c r="A7" s="4">
        <v>6</v>
      </c>
      <c r="B7" s="9" t="s">
        <v>37</v>
      </c>
      <c r="C7" s="9" t="s">
        <v>30</v>
      </c>
      <c r="D7" s="4" t="s">
        <v>38</v>
      </c>
      <c r="E7" s="9" t="s">
        <v>18</v>
      </c>
      <c r="F7" s="5">
        <v>45889</v>
      </c>
      <c r="G7" s="5">
        <v>45954</v>
      </c>
      <c r="H7" s="4" t="s">
        <v>27</v>
      </c>
      <c r="I7" s="4" t="s">
        <v>21</v>
      </c>
      <c r="J7" s="4" t="s">
        <v>20</v>
      </c>
      <c r="K7" s="4">
        <v>1218</v>
      </c>
      <c r="L7" s="4">
        <v>1218</v>
      </c>
      <c r="M7" s="4">
        <f t="shared" si="1"/>
        <v>0</v>
      </c>
      <c r="N7" s="4" t="s">
        <v>21</v>
      </c>
      <c r="O7" s="4" t="s">
        <v>28</v>
      </c>
      <c r="P7" s="10"/>
    </row>
    <row r="8" spans="1:16" x14ac:dyDescent="0.3">
      <c r="A8" s="4">
        <v>7</v>
      </c>
      <c r="B8" s="9" t="s">
        <v>41</v>
      </c>
      <c r="C8" s="9" t="s">
        <v>30</v>
      </c>
      <c r="D8" s="4" t="s">
        <v>42</v>
      </c>
      <c r="E8" s="9" t="s">
        <v>18</v>
      </c>
      <c r="F8" s="5">
        <v>45924</v>
      </c>
      <c r="G8" s="5" t="s">
        <v>24</v>
      </c>
      <c r="H8" s="4" t="s">
        <v>43</v>
      </c>
      <c r="I8" s="4" t="s">
        <v>227</v>
      </c>
      <c r="J8" s="4" t="s">
        <v>20</v>
      </c>
      <c r="K8" s="4">
        <v>1330</v>
      </c>
      <c r="L8" s="4">
        <v>0</v>
      </c>
      <c r="M8" s="4">
        <f t="shared" si="1"/>
        <v>1330</v>
      </c>
      <c r="N8" s="4" t="s">
        <v>21</v>
      </c>
      <c r="O8" s="4" t="s">
        <v>221</v>
      </c>
      <c r="P8" s="10"/>
    </row>
    <row r="9" spans="1:16" ht="28.8" x14ac:dyDescent="0.3">
      <c r="A9" s="4">
        <v>8</v>
      </c>
      <c r="B9" s="9" t="s">
        <v>73</v>
      </c>
      <c r="C9" s="9" t="s">
        <v>35</v>
      </c>
      <c r="D9" s="4" t="s">
        <v>74</v>
      </c>
      <c r="E9" s="9" t="s">
        <v>18</v>
      </c>
      <c r="F9" s="5">
        <v>45940</v>
      </c>
      <c r="G9" s="5">
        <v>45996</v>
      </c>
      <c r="H9" s="4" t="s">
        <v>19</v>
      </c>
      <c r="I9" s="4" t="s">
        <v>241</v>
      </c>
      <c r="J9" s="4" t="s">
        <v>20</v>
      </c>
      <c r="K9" s="4">
        <v>268</v>
      </c>
      <c r="L9" s="4">
        <v>0</v>
      </c>
      <c r="M9" s="4">
        <f t="shared" si="1"/>
        <v>268</v>
      </c>
      <c r="N9" s="4" t="s">
        <v>21</v>
      </c>
      <c r="O9" s="4" t="s">
        <v>21</v>
      </c>
      <c r="P9" s="10"/>
    </row>
    <row r="10" spans="1:16" ht="28.8" x14ac:dyDescent="0.3">
      <c r="A10" s="4">
        <v>9</v>
      </c>
      <c r="B10" s="9" t="s">
        <v>228</v>
      </c>
      <c r="C10" s="9" t="s">
        <v>45</v>
      </c>
      <c r="D10" s="4" t="s">
        <v>231</v>
      </c>
      <c r="E10" s="9" t="s">
        <v>47</v>
      </c>
      <c r="F10" s="5">
        <v>45937</v>
      </c>
      <c r="G10" s="5">
        <v>45989</v>
      </c>
      <c r="H10" s="4" t="s">
        <v>43</v>
      </c>
      <c r="I10" s="4" t="s">
        <v>239</v>
      </c>
      <c r="J10" s="4" t="s">
        <v>20</v>
      </c>
      <c r="K10" s="4">
        <v>300</v>
      </c>
      <c r="L10" s="4">
        <v>0</v>
      </c>
      <c r="M10" s="4">
        <f t="shared" ref="M10" si="2">K10-L10</f>
        <v>300</v>
      </c>
      <c r="N10" s="4" t="s">
        <v>21</v>
      </c>
      <c r="O10" s="4" t="s">
        <v>21</v>
      </c>
      <c r="P10" s="10"/>
    </row>
    <row r="11" spans="1:16" ht="28.8" x14ac:dyDescent="0.3">
      <c r="A11" s="4">
        <v>9.1</v>
      </c>
      <c r="B11" s="9" t="s">
        <v>228</v>
      </c>
      <c r="C11" s="9" t="s">
        <v>45</v>
      </c>
      <c r="D11" s="4" t="s">
        <v>231</v>
      </c>
      <c r="E11" s="9" t="s">
        <v>47</v>
      </c>
      <c r="F11" s="5">
        <v>45937</v>
      </c>
      <c r="G11" s="5">
        <v>45996</v>
      </c>
      <c r="H11" s="4" t="s">
        <v>43</v>
      </c>
      <c r="I11" s="4" t="s">
        <v>239</v>
      </c>
      <c r="J11" s="4" t="s">
        <v>48</v>
      </c>
      <c r="K11" s="4"/>
      <c r="L11" s="4">
        <v>0</v>
      </c>
      <c r="M11" s="4">
        <f t="shared" ref="M11:M12" si="3">K11-L11</f>
        <v>0</v>
      </c>
      <c r="N11" s="4" t="s">
        <v>21</v>
      </c>
      <c r="O11" s="4" t="s">
        <v>21</v>
      </c>
      <c r="P11" s="10"/>
    </row>
    <row r="12" spans="1:16" ht="28.8" x14ac:dyDescent="0.3">
      <c r="A12" s="4">
        <v>10</v>
      </c>
      <c r="B12" s="9" t="s">
        <v>229</v>
      </c>
      <c r="C12" s="9" t="s">
        <v>45</v>
      </c>
      <c r="D12" s="4" t="s">
        <v>230</v>
      </c>
      <c r="E12" s="9" t="s">
        <v>47</v>
      </c>
      <c r="F12" s="5">
        <v>45937</v>
      </c>
      <c r="G12" s="5">
        <v>45989</v>
      </c>
      <c r="H12" s="4" t="s">
        <v>43</v>
      </c>
      <c r="I12" s="4" t="s">
        <v>239</v>
      </c>
      <c r="J12" s="4" t="s">
        <v>20</v>
      </c>
      <c r="K12" s="4">
        <v>300</v>
      </c>
      <c r="L12" s="4">
        <v>0</v>
      </c>
      <c r="M12" s="4">
        <f t="shared" si="3"/>
        <v>300</v>
      </c>
      <c r="N12" s="4" t="s">
        <v>21</v>
      </c>
      <c r="O12" s="4" t="s">
        <v>21</v>
      </c>
      <c r="P12" s="10"/>
    </row>
    <row r="13" spans="1:16" ht="28.8" x14ac:dyDescent="0.3">
      <c r="A13" s="4">
        <v>10.1</v>
      </c>
      <c r="B13" s="9" t="s">
        <v>229</v>
      </c>
      <c r="C13" s="9" t="s">
        <v>45</v>
      </c>
      <c r="D13" s="4" t="s">
        <v>230</v>
      </c>
      <c r="E13" s="9" t="s">
        <v>47</v>
      </c>
      <c r="F13" s="5">
        <v>45937</v>
      </c>
      <c r="G13" s="5">
        <v>45997</v>
      </c>
      <c r="H13" s="4" t="s">
        <v>43</v>
      </c>
      <c r="I13" s="4" t="s">
        <v>239</v>
      </c>
      <c r="J13" s="4" t="s">
        <v>20</v>
      </c>
      <c r="K13" s="4"/>
      <c r="L13" s="4">
        <v>0</v>
      </c>
      <c r="M13" s="4">
        <f t="shared" ref="M13" si="4">K13-L13</f>
        <v>0</v>
      </c>
      <c r="N13" s="4" t="s">
        <v>21</v>
      </c>
      <c r="O13" s="4" t="s">
        <v>21</v>
      </c>
      <c r="P13" s="10" t="s">
        <v>242</v>
      </c>
    </row>
  </sheetData>
  <pageMargins left="0.7" right="0.7" top="0.75" bottom="0.75" header="0.3" footer="0.3"/>
  <pageSetup scale="40" orientation="portrait" horizontalDpi="4294967293" r:id="rId1"/>
  <customProperties>
    <customPr name="LastActiv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0C1C-A1DB-4AB3-9E0C-C435985239F4}">
  <dimension ref="A1:M17"/>
  <sheetViews>
    <sheetView zoomScaleNormal="100" workbookViewId="0"/>
  </sheetViews>
  <sheetFormatPr defaultColWidth="9.21875" defaultRowHeight="14.4" x14ac:dyDescent="0.3"/>
  <cols>
    <col min="1" max="1" width="6.77734375" style="8" bestFit="1" customWidth="1"/>
    <col min="2" max="2" width="13.77734375" style="8" bestFit="1" customWidth="1"/>
    <col min="3" max="3" width="19.77734375" style="8" customWidth="1"/>
    <col min="4" max="4" width="44.44140625" style="8" customWidth="1"/>
    <col min="5" max="5" width="13.77734375" style="8" bestFit="1" customWidth="1"/>
    <col min="6" max="6" width="13.21875" style="8" bestFit="1" customWidth="1"/>
    <col min="7" max="7" width="23.21875" style="8" customWidth="1"/>
    <col min="8" max="9" width="22.21875" style="8" bestFit="1" customWidth="1"/>
    <col min="10" max="10" width="11.21875" style="8" bestFit="1" customWidth="1"/>
    <col min="11" max="11" width="9.21875" style="8"/>
    <col min="12" max="12" width="15.21875" style="8" customWidth="1"/>
    <col min="13" max="13" width="9.21875" style="10"/>
    <col min="14" max="16384" width="9.21875" style="8"/>
  </cols>
  <sheetData>
    <row r="1" spans="1:13" x14ac:dyDescent="0.3">
      <c r="A1" s="7" t="s">
        <v>0</v>
      </c>
      <c r="B1" s="7" t="s">
        <v>1</v>
      </c>
      <c r="C1" s="7" t="s">
        <v>49</v>
      </c>
      <c r="D1" s="7" t="s">
        <v>3</v>
      </c>
      <c r="E1" s="7" t="s">
        <v>4</v>
      </c>
      <c r="F1" s="7" t="s">
        <v>7</v>
      </c>
      <c r="G1" s="7" t="s">
        <v>8</v>
      </c>
      <c r="H1" s="7" t="s">
        <v>10</v>
      </c>
      <c r="I1" s="7" t="s">
        <v>13</v>
      </c>
      <c r="J1" s="7" t="s">
        <v>14</v>
      </c>
    </row>
    <row r="2" spans="1:13" x14ac:dyDescent="0.3">
      <c r="A2" s="9">
        <v>1</v>
      </c>
      <c r="B2" s="9" t="s">
        <v>39</v>
      </c>
      <c r="C2" s="9" t="s">
        <v>16</v>
      </c>
      <c r="D2" s="12" t="s">
        <v>50</v>
      </c>
      <c r="E2" s="9" t="s">
        <v>18</v>
      </c>
      <c r="F2" s="9"/>
      <c r="G2" s="9"/>
      <c r="H2" s="23">
        <v>75</v>
      </c>
      <c r="I2" s="9"/>
      <c r="J2" s="19"/>
      <c r="K2" s="10" t="s">
        <v>51</v>
      </c>
      <c r="L2" s="10" t="s">
        <v>237</v>
      </c>
    </row>
    <row r="3" spans="1:13" x14ac:dyDescent="0.3">
      <c r="A3" s="9">
        <v>2</v>
      </c>
      <c r="B3" s="9" t="s">
        <v>39</v>
      </c>
      <c r="C3" s="9" t="s">
        <v>16</v>
      </c>
      <c r="D3" s="12" t="s">
        <v>52</v>
      </c>
      <c r="E3" s="9" t="s">
        <v>18</v>
      </c>
      <c r="F3" s="9"/>
      <c r="G3" s="9"/>
      <c r="H3" s="23">
        <v>75</v>
      </c>
      <c r="I3" s="9"/>
      <c r="J3" s="19"/>
      <c r="K3" s="10" t="s">
        <v>51</v>
      </c>
      <c r="L3" s="10"/>
    </row>
    <row r="4" spans="1:13" x14ac:dyDescent="0.3">
      <c r="A4" s="9">
        <v>3</v>
      </c>
      <c r="B4" s="9" t="s">
        <v>39</v>
      </c>
      <c r="C4" s="9" t="s">
        <v>16</v>
      </c>
      <c r="D4" s="12" t="s">
        <v>53</v>
      </c>
      <c r="E4" s="9" t="s">
        <v>18</v>
      </c>
      <c r="F4" s="9"/>
      <c r="G4" s="9"/>
      <c r="H4" s="23">
        <v>75</v>
      </c>
      <c r="I4" s="9"/>
      <c r="J4" s="19"/>
      <c r="K4" s="10" t="s">
        <v>54</v>
      </c>
      <c r="L4" s="10"/>
    </row>
    <row r="5" spans="1:13" x14ac:dyDescent="0.3">
      <c r="A5" s="9">
        <v>4</v>
      </c>
      <c r="B5" s="9" t="s">
        <v>39</v>
      </c>
      <c r="C5" s="9" t="s">
        <v>16</v>
      </c>
      <c r="D5" s="12" t="s">
        <v>55</v>
      </c>
      <c r="E5" s="9" t="s">
        <v>18</v>
      </c>
      <c r="F5" s="9"/>
      <c r="G5" s="9"/>
      <c r="H5" s="23">
        <v>75</v>
      </c>
      <c r="I5" s="9"/>
      <c r="J5" s="19"/>
      <c r="K5" s="10" t="s">
        <v>54</v>
      </c>
      <c r="L5" s="10"/>
    </row>
    <row r="6" spans="1:13" x14ac:dyDescent="0.3">
      <c r="A6" s="9">
        <v>5</v>
      </c>
      <c r="B6" s="9" t="s">
        <v>56</v>
      </c>
      <c r="C6" s="9" t="s">
        <v>30</v>
      </c>
      <c r="D6" s="12" t="s">
        <v>57</v>
      </c>
      <c r="E6" s="9" t="s">
        <v>18</v>
      </c>
      <c r="F6" s="9"/>
      <c r="G6" s="9"/>
      <c r="H6" s="23">
        <v>1025</v>
      </c>
      <c r="I6" s="9"/>
      <c r="J6" s="19"/>
      <c r="K6" s="10" t="s">
        <v>226</v>
      </c>
      <c r="L6" s="10"/>
    </row>
    <row r="7" spans="1:13" x14ac:dyDescent="0.3">
      <c r="A7" s="9">
        <v>6</v>
      </c>
      <c r="B7" s="9" t="s">
        <v>59</v>
      </c>
      <c r="C7" s="9" t="s">
        <v>30</v>
      </c>
      <c r="D7" s="12" t="s">
        <v>60</v>
      </c>
      <c r="E7" s="9" t="s">
        <v>18</v>
      </c>
      <c r="F7" s="9"/>
      <c r="G7" s="9"/>
      <c r="H7" s="23">
        <v>1025</v>
      </c>
      <c r="I7" s="9"/>
      <c r="J7" s="19"/>
      <c r="K7" s="10" t="s">
        <v>234</v>
      </c>
      <c r="L7" s="10"/>
    </row>
    <row r="8" spans="1:13" x14ac:dyDescent="0.3">
      <c r="A8" s="9">
        <v>7</v>
      </c>
      <c r="B8" s="9" t="s">
        <v>61</v>
      </c>
      <c r="C8" s="9" t="s">
        <v>30</v>
      </c>
      <c r="D8" s="12" t="s">
        <v>62</v>
      </c>
      <c r="E8" s="9" t="s">
        <v>18</v>
      </c>
      <c r="F8" s="9"/>
      <c r="G8" s="9"/>
      <c r="H8" s="23">
        <v>1282</v>
      </c>
      <c r="I8" s="9"/>
      <c r="J8" s="19"/>
      <c r="K8" s="10"/>
      <c r="L8" s="10"/>
    </row>
    <row r="9" spans="1:13" x14ac:dyDescent="0.3">
      <c r="A9" s="9">
        <v>8</v>
      </c>
      <c r="B9" s="9" t="s">
        <v>63</v>
      </c>
      <c r="C9" s="9" t="s">
        <v>30</v>
      </c>
      <c r="D9" s="12" t="s">
        <v>64</v>
      </c>
      <c r="E9" s="9" t="s">
        <v>18</v>
      </c>
      <c r="F9" s="9"/>
      <c r="G9" s="9"/>
      <c r="H9" s="23">
        <v>609</v>
      </c>
      <c r="I9" s="9"/>
      <c r="J9" s="19"/>
      <c r="K9" s="10" t="s">
        <v>226</v>
      </c>
      <c r="L9" s="10"/>
    </row>
    <row r="10" spans="1:13" x14ac:dyDescent="0.3">
      <c r="A10" s="9">
        <v>9</v>
      </c>
      <c r="B10" s="9" t="s">
        <v>65</v>
      </c>
      <c r="C10" s="9" t="s">
        <v>30</v>
      </c>
      <c r="D10" s="12" t="s">
        <v>66</v>
      </c>
      <c r="E10" s="9" t="s">
        <v>18</v>
      </c>
      <c r="F10" s="9"/>
      <c r="G10" s="9"/>
      <c r="H10" s="23">
        <v>608</v>
      </c>
      <c r="I10" s="9"/>
      <c r="J10" s="19"/>
      <c r="K10" s="10" t="s">
        <v>226</v>
      </c>
      <c r="L10" s="10"/>
    </row>
    <row r="11" spans="1:13" x14ac:dyDescent="0.3">
      <c r="A11" s="9">
        <v>10</v>
      </c>
      <c r="B11" s="9" t="s">
        <v>67</v>
      </c>
      <c r="C11" s="9" t="s">
        <v>30</v>
      </c>
      <c r="D11" s="12" t="s">
        <v>68</v>
      </c>
      <c r="E11" s="9" t="s">
        <v>18</v>
      </c>
      <c r="F11" s="9"/>
      <c r="G11" s="9"/>
      <c r="H11" s="23">
        <v>1025</v>
      </c>
      <c r="I11" s="9"/>
      <c r="J11" s="19"/>
      <c r="K11" s="10" t="s">
        <v>225</v>
      </c>
      <c r="L11" s="10"/>
    </row>
    <row r="12" spans="1:13" x14ac:dyDescent="0.3">
      <c r="A12" s="9">
        <v>11</v>
      </c>
      <c r="B12" s="9" t="s">
        <v>69</v>
      </c>
      <c r="C12" s="9" t="s">
        <v>30</v>
      </c>
      <c r="D12" s="12" t="s">
        <v>70</v>
      </c>
      <c r="E12" s="9" t="s">
        <v>18</v>
      </c>
      <c r="F12" s="9"/>
      <c r="G12" s="9"/>
      <c r="H12" s="23">
        <v>1025</v>
      </c>
      <c r="I12" s="9"/>
      <c r="J12" s="19"/>
      <c r="K12" s="10"/>
      <c r="L12" s="10"/>
    </row>
    <row r="13" spans="1:13" x14ac:dyDescent="0.3">
      <c r="A13" s="9">
        <v>12</v>
      </c>
      <c r="B13" s="9" t="s">
        <v>71</v>
      </c>
      <c r="C13" s="9" t="s">
        <v>30</v>
      </c>
      <c r="D13" s="12" t="s">
        <v>72</v>
      </c>
      <c r="E13" s="9" t="s">
        <v>18</v>
      </c>
      <c r="F13" s="9"/>
      <c r="G13" s="9"/>
      <c r="H13" s="23">
        <v>1025</v>
      </c>
      <c r="I13" s="9"/>
      <c r="J13" s="19"/>
      <c r="K13" s="10" t="s">
        <v>58</v>
      </c>
      <c r="L13" s="10"/>
    </row>
    <row r="14" spans="1:13" x14ac:dyDescent="0.3">
      <c r="A14" s="9">
        <v>13</v>
      </c>
      <c r="B14" s="9" t="s">
        <v>75</v>
      </c>
      <c r="C14" s="9" t="s">
        <v>30</v>
      </c>
      <c r="D14" s="12" t="s">
        <v>76</v>
      </c>
      <c r="E14" s="9" t="s">
        <v>18</v>
      </c>
      <c r="F14" s="29"/>
      <c r="G14" s="23"/>
      <c r="H14" s="23">
        <v>1025</v>
      </c>
      <c r="I14" s="9"/>
      <c r="J14" s="19"/>
      <c r="K14" s="10" t="s">
        <v>234</v>
      </c>
      <c r="L14" s="10"/>
      <c r="M14" s="8"/>
    </row>
    <row r="15" spans="1:13" s="11" customFormat="1" x14ac:dyDescent="0.3">
      <c r="A15" s="9">
        <v>14</v>
      </c>
      <c r="B15" s="9" t="s">
        <v>109</v>
      </c>
      <c r="C15" s="9" t="s">
        <v>30</v>
      </c>
      <c r="D15" s="12" t="s">
        <v>110</v>
      </c>
      <c r="E15" s="9" t="s">
        <v>18</v>
      </c>
      <c r="F15" s="29"/>
      <c r="G15" s="23"/>
      <c r="H15" s="23">
        <v>700</v>
      </c>
      <c r="I15" s="9"/>
      <c r="J15" s="19"/>
    </row>
    <row r="16" spans="1:13" s="11" customFormat="1" x14ac:dyDescent="0.3">
      <c r="A16" s="9">
        <v>15</v>
      </c>
      <c r="B16" s="9" t="s">
        <v>111</v>
      </c>
      <c r="C16" s="9" t="s">
        <v>30</v>
      </c>
      <c r="D16" s="19" t="s">
        <v>112</v>
      </c>
      <c r="E16" s="9" t="s">
        <v>18</v>
      </c>
      <c r="F16" s="29"/>
      <c r="G16" s="23"/>
      <c r="H16" s="28">
        <v>1025</v>
      </c>
      <c r="I16" s="9"/>
      <c r="J16" s="19"/>
    </row>
    <row r="17" spans="1:10" s="11" customFormat="1" x14ac:dyDescent="0.3">
      <c r="A17" s="9">
        <v>16</v>
      </c>
      <c r="B17" s="9" t="s">
        <v>113</v>
      </c>
      <c r="C17" s="9" t="s">
        <v>30</v>
      </c>
      <c r="D17" s="19" t="s">
        <v>114</v>
      </c>
      <c r="E17" s="9" t="s">
        <v>18</v>
      </c>
      <c r="F17" s="29"/>
      <c r="G17" s="23"/>
      <c r="H17" s="28">
        <v>1025</v>
      </c>
      <c r="I17" s="9"/>
      <c r="J17" s="19"/>
    </row>
  </sheetData>
  <pageMargins left="0.7" right="0.7" top="0.75" bottom="0.75" header="0.3" footer="0.3"/>
  <pageSetup orientation="portrait" r:id="rId1"/>
  <customProperties>
    <customPr name="LastActiv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EF69-E3B9-46C7-814C-6CF418972C53}">
  <dimension ref="A1:L18"/>
  <sheetViews>
    <sheetView zoomScale="85" zoomScaleNormal="85" workbookViewId="0"/>
  </sheetViews>
  <sheetFormatPr defaultColWidth="9.21875" defaultRowHeight="14.4" x14ac:dyDescent="0.3"/>
  <cols>
    <col min="1" max="1" width="9" style="17" customWidth="1"/>
    <col min="2" max="2" width="15.21875" style="22" customWidth="1"/>
    <col min="3" max="3" width="16.77734375" style="18" customWidth="1"/>
    <col min="4" max="4" width="15.44140625" style="17" customWidth="1"/>
    <col min="5" max="5" width="49.21875" style="11" bestFit="1" customWidth="1"/>
    <col min="6" max="6" width="20.77734375" style="8" bestFit="1" customWidth="1"/>
    <col min="7" max="7" width="16.44140625" style="8" customWidth="1"/>
    <col min="8" max="8" width="35" style="11" customWidth="1"/>
    <col min="9" max="9" width="35.77734375" style="10" customWidth="1"/>
    <col min="10" max="10" width="15.21875" style="11" customWidth="1"/>
    <col min="11" max="16384" width="9.21875" style="11"/>
  </cols>
  <sheetData>
    <row r="1" spans="1:12" x14ac:dyDescent="0.3">
      <c r="A1" s="7" t="s">
        <v>0</v>
      </c>
      <c r="B1" s="21" t="s">
        <v>1</v>
      </c>
      <c r="C1" s="13" t="s">
        <v>4</v>
      </c>
      <c r="D1" s="14" t="s">
        <v>49</v>
      </c>
      <c r="E1" s="15" t="s">
        <v>3</v>
      </c>
      <c r="F1" s="7" t="s">
        <v>77</v>
      </c>
      <c r="G1" s="7" t="s">
        <v>78</v>
      </c>
      <c r="H1" s="13" t="s">
        <v>79</v>
      </c>
    </row>
    <row r="2" spans="1:12" s="8" customFormat="1" ht="28.8" x14ac:dyDescent="0.3">
      <c r="A2" s="9">
        <v>1</v>
      </c>
      <c r="B2" s="12" t="s">
        <v>80</v>
      </c>
      <c r="C2" s="12" t="s">
        <v>18</v>
      </c>
      <c r="D2" s="9" t="s">
        <v>30</v>
      </c>
      <c r="E2" s="12" t="s">
        <v>81</v>
      </c>
      <c r="F2" s="20">
        <v>45702</v>
      </c>
      <c r="G2" s="23">
        <v>1000</v>
      </c>
      <c r="H2" s="16" t="s">
        <v>82</v>
      </c>
      <c r="I2" s="11" t="s">
        <v>83</v>
      </c>
      <c r="J2" s="11"/>
      <c r="K2" s="10"/>
      <c r="L2" s="10"/>
    </row>
    <row r="3" spans="1:12" s="8" customFormat="1" ht="28.8" x14ac:dyDescent="0.3">
      <c r="A3" s="9">
        <v>2</v>
      </c>
      <c r="B3" s="12" t="s">
        <v>80</v>
      </c>
      <c r="C3" s="12" t="s">
        <v>18</v>
      </c>
      <c r="D3" s="9" t="s">
        <v>16</v>
      </c>
      <c r="E3" s="12" t="s">
        <v>84</v>
      </c>
      <c r="F3" s="20">
        <v>45728</v>
      </c>
      <c r="G3" s="23">
        <v>20</v>
      </c>
      <c r="H3" s="16" t="s">
        <v>82</v>
      </c>
      <c r="I3" s="11" t="s">
        <v>85</v>
      </c>
      <c r="J3" s="11"/>
      <c r="K3" s="10"/>
      <c r="L3" s="10"/>
    </row>
    <row r="4" spans="1:12" s="8" customFormat="1" ht="28.8" x14ac:dyDescent="0.3">
      <c r="A4" s="9">
        <v>3</v>
      </c>
      <c r="B4" s="12" t="s">
        <v>86</v>
      </c>
      <c r="C4" s="12" t="s">
        <v>18</v>
      </c>
      <c r="D4" s="9" t="s">
        <v>16</v>
      </c>
      <c r="E4" s="12" t="s">
        <v>87</v>
      </c>
      <c r="F4" s="20">
        <v>45742</v>
      </c>
      <c r="G4" s="23" t="s">
        <v>88</v>
      </c>
      <c r="H4" s="16" t="s">
        <v>82</v>
      </c>
      <c r="I4" s="11" t="s">
        <v>89</v>
      </c>
      <c r="J4" s="11"/>
      <c r="K4" s="10"/>
      <c r="L4" s="10"/>
    </row>
    <row r="5" spans="1:12" s="8" customFormat="1" ht="28.8" x14ac:dyDescent="0.3">
      <c r="A5" s="9">
        <v>4</v>
      </c>
      <c r="B5" s="12" t="s">
        <v>90</v>
      </c>
      <c r="C5" s="12" t="s">
        <v>18</v>
      </c>
      <c r="D5" s="9" t="s">
        <v>16</v>
      </c>
      <c r="E5" s="12" t="s">
        <v>91</v>
      </c>
      <c r="F5" s="20">
        <v>45742</v>
      </c>
      <c r="G5" s="23" t="s">
        <v>92</v>
      </c>
      <c r="H5" s="16" t="s">
        <v>82</v>
      </c>
      <c r="I5" s="11" t="s">
        <v>89</v>
      </c>
      <c r="J5" s="11"/>
      <c r="K5" s="10"/>
      <c r="L5" s="10"/>
    </row>
    <row r="6" spans="1:12" s="8" customFormat="1" ht="28.8" x14ac:dyDescent="0.3">
      <c r="A6" s="9">
        <v>5</v>
      </c>
      <c r="B6" s="12" t="s">
        <v>93</v>
      </c>
      <c r="C6" s="12" t="s">
        <v>18</v>
      </c>
      <c r="D6" s="9" t="s">
        <v>16</v>
      </c>
      <c r="E6" s="12" t="s">
        <v>94</v>
      </c>
      <c r="F6" s="20">
        <v>45742</v>
      </c>
      <c r="G6" s="23" t="s">
        <v>92</v>
      </c>
      <c r="H6" s="16" t="s">
        <v>82</v>
      </c>
      <c r="I6" s="11" t="s">
        <v>89</v>
      </c>
      <c r="J6" s="11"/>
      <c r="K6" s="10"/>
      <c r="L6" s="10"/>
    </row>
    <row r="7" spans="1:12" ht="28.8" x14ac:dyDescent="0.3">
      <c r="A7" s="9">
        <v>6</v>
      </c>
      <c r="B7" s="12" t="s">
        <v>95</v>
      </c>
      <c r="C7" s="12" t="s">
        <v>18</v>
      </c>
      <c r="D7" s="9" t="s">
        <v>16</v>
      </c>
      <c r="E7" s="19" t="s">
        <v>96</v>
      </c>
      <c r="F7" s="29">
        <v>45839</v>
      </c>
      <c r="G7" s="28">
        <v>90</v>
      </c>
      <c r="H7" s="16" t="s">
        <v>82</v>
      </c>
    </row>
    <row r="8" spans="1:12" ht="28.8" x14ac:dyDescent="0.3">
      <c r="A8" s="9">
        <v>7</v>
      </c>
      <c r="B8" s="12" t="s">
        <v>97</v>
      </c>
      <c r="C8" s="12" t="s">
        <v>18</v>
      </c>
      <c r="D8" s="9" t="s">
        <v>16</v>
      </c>
      <c r="E8" s="19" t="s">
        <v>98</v>
      </c>
      <c r="F8" s="29">
        <v>45846</v>
      </c>
      <c r="G8" s="28" t="s">
        <v>99</v>
      </c>
      <c r="H8" s="16" t="s">
        <v>82</v>
      </c>
    </row>
    <row r="9" spans="1:12" ht="28.8" x14ac:dyDescent="0.3">
      <c r="A9" s="9">
        <v>8</v>
      </c>
      <c r="B9" s="12" t="s">
        <v>80</v>
      </c>
      <c r="C9" s="12" t="s">
        <v>18</v>
      </c>
      <c r="D9" s="9" t="s">
        <v>16</v>
      </c>
      <c r="E9" s="19" t="s">
        <v>100</v>
      </c>
      <c r="F9" s="29">
        <v>45869</v>
      </c>
      <c r="G9" s="28">
        <v>15</v>
      </c>
      <c r="H9" s="16" t="s">
        <v>82</v>
      </c>
    </row>
    <row r="10" spans="1:12" ht="28.8" x14ac:dyDescent="0.3">
      <c r="A10" s="9">
        <v>9</v>
      </c>
      <c r="B10" s="12" t="s">
        <v>101</v>
      </c>
      <c r="C10" s="12" t="s">
        <v>18</v>
      </c>
      <c r="D10" s="9" t="s">
        <v>16</v>
      </c>
      <c r="E10" s="19" t="s">
        <v>102</v>
      </c>
      <c r="F10" s="29">
        <v>45891</v>
      </c>
      <c r="G10" s="9">
        <v>4</v>
      </c>
      <c r="H10" s="16" t="s">
        <v>82</v>
      </c>
      <c r="I10" s="10" t="s">
        <v>103</v>
      </c>
    </row>
    <row r="11" spans="1:12" ht="28.8" x14ac:dyDescent="0.3">
      <c r="A11" s="9">
        <v>10</v>
      </c>
      <c r="B11" s="12" t="s">
        <v>104</v>
      </c>
      <c r="C11" s="12" t="s">
        <v>18</v>
      </c>
      <c r="D11" s="9" t="s">
        <v>16</v>
      </c>
      <c r="E11" s="19" t="s">
        <v>105</v>
      </c>
      <c r="F11" s="29">
        <v>45901</v>
      </c>
      <c r="G11" s="4" t="s">
        <v>106</v>
      </c>
      <c r="H11" s="16" t="s">
        <v>82</v>
      </c>
      <c r="I11" s="10" t="s">
        <v>89</v>
      </c>
    </row>
    <row r="12" spans="1:12" ht="28.8" x14ac:dyDescent="0.3">
      <c r="A12" s="9">
        <v>11</v>
      </c>
      <c r="B12" s="12" t="s">
        <v>107</v>
      </c>
      <c r="C12" s="12" t="s">
        <v>18</v>
      </c>
      <c r="D12" s="9" t="s">
        <v>16</v>
      </c>
      <c r="E12" s="12" t="s">
        <v>108</v>
      </c>
      <c r="F12" s="29">
        <v>45910</v>
      </c>
      <c r="G12" s="23">
        <v>35</v>
      </c>
      <c r="H12" s="16" t="s">
        <v>82</v>
      </c>
    </row>
    <row r="13" spans="1:12" s="8" customFormat="1" ht="28.8" x14ac:dyDescent="0.3">
      <c r="A13" s="9">
        <v>12</v>
      </c>
      <c r="B13" s="12" t="s">
        <v>115</v>
      </c>
      <c r="C13" s="12" t="s">
        <v>18</v>
      </c>
      <c r="D13" s="9" t="s">
        <v>16</v>
      </c>
      <c r="E13" s="12" t="s">
        <v>116</v>
      </c>
      <c r="F13" s="20">
        <v>45922</v>
      </c>
      <c r="G13" s="23">
        <v>80</v>
      </c>
      <c r="H13" s="16" t="s">
        <v>82</v>
      </c>
      <c r="I13" s="11"/>
      <c r="J13" s="11"/>
      <c r="K13" s="10"/>
      <c r="L13" s="10"/>
    </row>
    <row r="14" spans="1:12" s="8" customFormat="1" ht="33.450000000000003" customHeight="1" x14ac:dyDescent="0.3">
      <c r="A14" s="9">
        <v>13</v>
      </c>
      <c r="B14" s="12" t="s">
        <v>117</v>
      </c>
      <c r="C14" s="12" t="s">
        <v>18</v>
      </c>
      <c r="D14" s="9" t="s">
        <v>16</v>
      </c>
      <c r="E14" s="30" t="s">
        <v>118</v>
      </c>
      <c r="F14" s="20">
        <v>45924</v>
      </c>
      <c r="G14" s="23">
        <v>30</v>
      </c>
      <c r="H14" s="16" t="s">
        <v>82</v>
      </c>
      <c r="I14" s="11"/>
      <c r="J14" s="11"/>
      <c r="K14" s="10"/>
      <c r="L14" s="10"/>
    </row>
    <row r="15" spans="1:12" s="8" customFormat="1" ht="33.450000000000003" customHeight="1" x14ac:dyDescent="0.3">
      <c r="A15" s="9">
        <v>14</v>
      </c>
      <c r="B15" s="12" t="s">
        <v>119</v>
      </c>
      <c r="C15" s="12" t="s">
        <v>18</v>
      </c>
      <c r="D15" s="9" t="s">
        <v>16</v>
      </c>
      <c r="E15" s="30" t="s">
        <v>120</v>
      </c>
      <c r="F15" s="20">
        <v>45924</v>
      </c>
      <c r="G15" s="23">
        <v>30</v>
      </c>
      <c r="H15" s="16" t="s">
        <v>82</v>
      </c>
      <c r="I15" s="11"/>
      <c r="J15" s="11"/>
      <c r="K15" s="10"/>
      <c r="L15" s="10"/>
    </row>
    <row r="16" spans="1:12" ht="28.8" x14ac:dyDescent="0.3">
      <c r="A16" s="9">
        <v>15</v>
      </c>
      <c r="B16" s="12" t="s">
        <v>224</v>
      </c>
      <c r="C16" s="12" t="s">
        <v>18</v>
      </c>
      <c r="D16" s="9" t="s">
        <v>16</v>
      </c>
      <c r="E16" s="19" t="s">
        <v>222</v>
      </c>
      <c r="F16" s="29">
        <v>45933</v>
      </c>
      <c r="G16" s="9" t="s">
        <v>223</v>
      </c>
      <c r="H16" s="16" t="s">
        <v>82</v>
      </c>
    </row>
    <row r="17" spans="1:8" ht="28.8" x14ac:dyDescent="0.3">
      <c r="A17" s="9">
        <v>16</v>
      </c>
      <c r="B17" s="12" t="s">
        <v>235</v>
      </c>
      <c r="C17" s="12" t="s">
        <v>18</v>
      </c>
      <c r="D17" s="31" t="s">
        <v>16</v>
      </c>
      <c r="E17" s="32" t="s">
        <v>236</v>
      </c>
      <c r="F17" s="33">
        <v>45947</v>
      </c>
      <c r="G17" s="34">
        <v>15</v>
      </c>
      <c r="H17" s="35" t="s">
        <v>82</v>
      </c>
    </row>
    <row r="18" spans="1:8" ht="28.8" x14ac:dyDescent="0.3">
      <c r="A18" s="9">
        <v>17</v>
      </c>
      <c r="B18" s="12" t="s">
        <v>232</v>
      </c>
      <c r="C18" s="12" t="s">
        <v>18</v>
      </c>
      <c r="D18" s="9" t="s">
        <v>16</v>
      </c>
      <c r="E18" s="19" t="s">
        <v>233</v>
      </c>
      <c r="F18" s="29">
        <v>45952</v>
      </c>
      <c r="G18" s="9">
        <v>30</v>
      </c>
      <c r="H18" s="16" t="s">
        <v>82</v>
      </c>
    </row>
  </sheetData>
  <pageMargins left="0.7" right="0.7" top="0.75" bottom="0.75" header="0.3" footer="0.3"/>
  <pageSetup orientation="portrait" r:id="rId1"/>
  <customProperties>
    <customPr name="LastActive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28A1-82CD-4177-AA84-0A65CC91B5CC}">
  <dimension ref="A1:L87"/>
  <sheetViews>
    <sheetView topLeftCell="A67" zoomScale="85" zoomScaleNormal="85" workbookViewId="0">
      <selection activeCell="A87" sqref="A87"/>
    </sheetView>
  </sheetViews>
  <sheetFormatPr defaultColWidth="9.21875" defaultRowHeight="14.4" x14ac:dyDescent="0.3"/>
  <cols>
    <col min="1" max="1" width="6.77734375" style="6" bestFit="1" customWidth="1"/>
    <col min="2" max="2" width="13.5546875" style="6" customWidth="1"/>
    <col min="3" max="3" width="28.5546875" style="6" customWidth="1"/>
    <col min="4" max="4" width="16.21875" style="6" bestFit="1" customWidth="1"/>
    <col min="5" max="5" width="16.21875" style="6" customWidth="1"/>
    <col min="6" max="6" width="29.77734375" style="6" bestFit="1" customWidth="1"/>
    <col min="7" max="7" width="32.5546875" style="6" bestFit="1" customWidth="1"/>
    <col min="8" max="8" width="13.21875" style="6" customWidth="1"/>
    <col min="9" max="9" width="30.44140625" style="6" bestFit="1" customWidth="1"/>
    <col min="10" max="10" width="11.77734375" style="6" bestFit="1" customWidth="1"/>
    <col min="11" max="11" width="24.21875" style="6" bestFit="1" customWidth="1"/>
    <col min="12" max="16384" width="9.21875" style="6"/>
  </cols>
  <sheetData>
    <row r="1" spans="1:12" s="3" customFormat="1" ht="43.2" x14ac:dyDescent="0.3">
      <c r="A1" s="7" t="s">
        <v>0</v>
      </c>
      <c r="B1" s="1" t="s">
        <v>2</v>
      </c>
      <c r="C1" s="1" t="s">
        <v>3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K1" s="25" t="s">
        <v>126</v>
      </c>
      <c r="L1" s="1" t="s">
        <v>127</v>
      </c>
    </row>
    <row r="2" spans="1:12" ht="43.2" x14ac:dyDescent="0.3">
      <c r="A2" s="4">
        <v>1</v>
      </c>
      <c r="B2" s="4" t="s">
        <v>35</v>
      </c>
      <c r="C2" s="4" t="s">
        <v>128</v>
      </c>
      <c r="D2" s="9" t="s">
        <v>129</v>
      </c>
      <c r="E2" s="9" t="s">
        <v>130</v>
      </c>
      <c r="F2" s="5">
        <v>45790</v>
      </c>
      <c r="G2" s="5">
        <v>45786</v>
      </c>
      <c r="H2" s="24">
        <v>0.29166666666666669</v>
      </c>
      <c r="I2" s="4" t="s">
        <v>131</v>
      </c>
      <c r="K2" s="26" t="s">
        <v>132</v>
      </c>
      <c r="L2" s="27">
        <f>64/86</f>
        <v>0.7441860465116279</v>
      </c>
    </row>
    <row r="3" spans="1:12" x14ac:dyDescent="0.3">
      <c r="A3" s="4">
        <v>2</v>
      </c>
      <c r="B3" s="4" t="s">
        <v>30</v>
      </c>
      <c r="C3" s="4" t="s">
        <v>133</v>
      </c>
      <c r="D3" s="9" t="s">
        <v>129</v>
      </c>
      <c r="E3" s="9" t="s">
        <v>134</v>
      </c>
      <c r="F3" s="5">
        <v>45789</v>
      </c>
      <c r="G3" s="5">
        <v>45789</v>
      </c>
      <c r="H3" s="24">
        <v>0.55972222222222223</v>
      </c>
      <c r="I3" s="4" t="s">
        <v>135</v>
      </c>
      <c r="K3" s="26" t="s">
        <v>136</v>
      </c>
      <c r="L3" s="27">
        <f>22/86</f>
        <v>0.2558139534883721</v>
      </c>
    </row>
    <row r="4" spans="1:12" ht="28.8" x14ac:dyDescent="0.3">
      <c r="A4" s="4">
        <v>3</v>
      </c>
      <c r="B4" s="4" t="s">
        <v>16</v>
      </c>
      <c r="C4" s="4" t="s">
        <v>137</v>
      </c>
      <c r="D4" s="9" t="s">
        <v>138</v>
      </c>
      <c r="E4" s="9" t="s">
        <v>134</v>
      </c>
      <c r="F4" s="5">
        <v>45791</v>
      </c>
      <c r="G4" s="5">
        <v>45790</v>
      </c>
      <c r="H4" s="24">
        <v>0.60416666666666663</v>
      </c>
      <c r="I4" s="4" t="s">
        <v>139</v>
      </c>
    </row>
    <row r="5" spans="1:12" x14ac:dyDescent="0.3">
      <c r="A5" s="4">
        <v>4</v>
      </c>
      <c r="B5" s="4" t="s">
        <v>16</v>
      </c>
      <c r="C5" s="4" t="s">
        <v>140</v>
      </c>
      <c r="D5" s="9" t="s">
        <v>129</v>
      </c>
      <c r="E5" s="9" t="s">
        <v>130</v>
      </c>
      <c r="F5" s="5">
        <v>45797</v>
      </c>
      <c r="G5" s="5">
        <v>45797</v>
      </c>
      <c r="H5" s="24">
        <v>0.3125</v>
      </c>
      <c r="I5" s="4" t="s">
        <v>141</v>
      </c>
    </row>
    <row r="6" spans="1:12" x14ac:dyDescent="0.3">
      <c r="A6" s="4">
        <v>5</v>
      </c>
      <c r="B6" s="4" t="s">
        <v>30</v>
      </c>
      <c r="C6" s="4" t="s">
        <v>142</v>
      </c>
      <c r="D6" s="9" t="s">
        <v>129</v>
      </c>
      <c r="E6" s="9" t="s">
        <v>130</v>
      </c>
      <c r="F6" s="5">
        <v>45799</v>
      </c>
      <c r="G6" s="5">
        <v>45799</v>
      </c>
      <c r="H6" s="24">
        <v>0.27083333333333331</v>
      </c>
      <c r="I6" s="4" t="s">
        <v>141</v>
      </c>
    </row>
    <row r="7" spans="1:12" ht="28.8" x14ac:dyDescent="0.3">
      <c r="A7" s="4">
        <v>6</v>
      </c>
      <c r="B7" s="4" t="s">
        <v>16</v>
      </c>
      <c r="C7" s="4" t="s">
        <v>137</v>
      </c>
      <c r="D7" s="9" t="s">
        <v>138</v>
      </c>
      <c r="E7" s="9" t="s">
        <v>130</v>
      </c>
      <c r="F7" s="5">
        <v>45799</v>
      </c>
      <c r="G7" s="5">
        <v>45799</v>
      </c>
      <c r="H7" s="24">
        <v>0.50347222222222221</v>
      </c>
      <c r="I7" s="4" t="s">
        <v>135</v>
      </c>
    </row>
    <row r="8" spans="1:12" ht="43.2" x14ac:dyDescent="0.3">
      <c r="A8" s="4">
        <v>7</v>
      </c>
      <c r="B8" s="4" t="s">
        <v>35</v>
      </c>
      <c r="C8" s="4" t="s">
        <v>128</v>
      </c>
      <c r="D8" s="9" t="s">
        <v>129</v>
      </c>
      <c r="E8" s="9" t="s">
        <v>143</v>
      </c>
      <c r="F8" s="5">
        <v>45800</v>
      </c>
      <c r="G8" s="5">
        <v>45800</v>
      </c>
      <c r="H8" s="24">
        <v>0.29166666666666669</v>
      </c>
      <c r="I8" s="4" t="s">
        <v>141</v>
      </c>
    </row>
    <row r="9" spans="1:12" x14ac:dyDescent="0.3">
      <c r="A9" s="4">
        <v>8</v>
      </c>
      <c r="B9" s="4" t="s">
        <v>30</v>
      </c>
      <c r="C9" s="4" t="s">
        <v>144</v>
      </c>
      <c r="D9" s="9" t="s">
        <v>129</v>
      </c>
      <c r="E9" s="9" t="s">
        <v>130</v>
      </c>
      <c r="F9" s="5">
        <v>45804</v>
      </c>
      <c r="G9" s="5">
        <v>45804</v>
      </c>
      <c r="H9" s="24">
        <v>0.56111111111111112</v>
      </c>
      <c r="I9" s="4" t="s">
        <v>135</v>
      </c>
    </row>
    <row r="10" spans="1:12" x14ac:dyDescent="0.3">
      <c r="A10" s="4">
        <v>9</v>
      </c>
      <c r="B10" s="4" t="s">
        <v>16</v>
      </c>
      <c r="C10" s="4" t="s">
        <v>140</v>
      </c>
      <c r="D10" s="9" t="s">
        <v>129</v>
      </c>
      <c r="E10" s="9" t="s">
        <v>143</v>
      </c>
      <c r="F10" s="5">
        <v>45805</v>
      </c>
      <c r="G10" s="5">
        <v>45805</v>
      </c>
      <c r="H10" s="24">
        <v>0.3923611111111111</v>
      </c>
      <c r="I10" s="4" t="s">
        <v>141</v>
      </c>
    </row>
    <row r="11" spans="1:12" ht="28.8" x14ac:dyDescent="0.3">
      <c r="A11" s="4">
        <v>10</v>
      </c>
      <c r="B11" s="4" t="s">
        <v>35</v>
      </c>
      <c r="C11" s="4" t="s">
        <v>137</v>
      </c>
      <c r="D11" s="9" t="s">
        <v>138</v>
      </c>
      <c r="E11" s="9" t="s">
        <v>143</v>
      </c>
      <c r="F11" s="5">
        <v>45805</v>
      </c>
      <c r="G11" s="5">
        <v>45805</v>
      </c>
      <c r="H11" s="24">
        <v>0.29652777777777778</v>
      </c>
      <c r="I11" s="4" t="s">
        <v>141</v>
      </c>
    </row>
    <row r="12" spans="1:12" x14ac:dyDescent="0.3">
      <c r="A12" s="4">
        <v>11</v>
      </c>
      <c r="B12" s="4" t="s">
        <v>30</v>
      </c>
      <c r="C12" s="4" t="s">
        <v>144</v>
      </c>
      <c r="D12" s="9" t="s">
        <v>129</v>
      </c>
      <c r="E12" s="9" t="s">
        <v>130</v>
      </c>
      <c r="F12" s="5">
        <v>45804</v>
      </c>
      <c r="G12" s="5">
        <v>45804</v>
      </c>
      <c r="H12" s="24">
        <v>0.56111111111111112</v>
      </c>
      <c r="I12" s="4" t="s">
        <v>135</v>
      </c>
    </row>
    <row r="13" spans="1:12" x14ac:dyDescent="0.3">
      <c r="A13" s="4">
        <v>12</v>
      </c>
      <c r="B13" s="4" t="s">
        <v>16</v>
      </c>
      <c r="C13" s="4" t="s">
        <v>140</v>
      </c>
      <c r="D13" s="9" t="s">
        <v>129</v>
      </c>
      <c r="E13" s="9" t="s">
        <v>143</v>
      </c>
      <c r="F13" s="5">
        <v>45805</v>
      </c>
      <c r="G13" s="5">
        <v>45805</v>
      </c>
      <c r="H13" s="24">
        <v>0.3923611111111111</v>
      </c>
      <c r="I13" s="4" t="s">
        <v>141</v>
      </c>
    </row>
    <row r="14" spans="1:12" ht="28.8" x14ac:dyDescent="0.3">
      <c r="A14" s="4">
        <v>13</v>
      </c>
      <c r="B14" s="4" t="s">
        <v>16</v>
      </c>
      <c r="C14" s="4" t="s">
        <v>137</v>
      </c>
      <c r="D14" s="9" t="s">
        <v>138</v>
      </c>
      <c r="E14" s="9" t="s">
        <v>143</v>
      </c>
      <c r="F14" s="5">
        <v>45805</v>
      </c>
      <c r="G14" s="5">
        <v>45805</v>
      </c>
      <c r="H14" s="24">
        <v>0.29652777777777778</v>
      </c>
      <c r="I14" s="4" t="s">
        <v>141</v>
      </c>
    </row>
    <row r="15" spans="1:12" x14ac:dyDescent="0.3">
      <c r="A15" s="4">
        <v>14</v>
      </c>
      <c r="B15" s="4" t="s">
        <v>45</v>
      </c>
      <c r="C15" s="4" t="s">
        <v>145</v>
      </c>
      <c r="D15" s="9" t="s">
        <v>146</v>
      </c>
      <c r="E15" s="9" t="s">
        <v>130</v>
      </c>
      <c r="F15" s="5">
        <v>45805</v>
      </c>
      <c r="G15" s="5">
        <v>45805</v>
      </c>
      <c r="H15" s="24">
        <v>0.37986111111111109</v>
      </c>
      <c r="I15" s="4" t="s">
        <v>141</v>
      </c>
    </row>
    <row r="16" spans="1:12" ht="28.8" x14ac:dyDescent="0.3">
      <c r="A16" s="4">
        <v>15</v>
      </c>
      <c r="B16" s="4" t="s">
        <v>16</v>
      </c>
      <c r="C16" s="4" t="s">
        <v>147</v>
      </c>
      <c r="D16" s="9" t="s">
        <v>129</v>
      </c>
      <c r="E16" s="9" t="s">
        <v>134</v>
      </c>
      <c r="F16" s="5">
        <v>45806</v>
      </c>
      <c r="G16" s="5">
        <v>45806</v>
      </c>
      <c r="H16" s="24">
        <v>0.36805555555555558</v>
      </c>
      <c r="I16" s="4" t="s">
        <v>141</v>
      </c>
    </row>
    <row r="17" spans="1:9" x14ac:dyDescent="0.3">
      <c r="A17" s="4">
        <v>16</v>
      </c>
      <c r="B17" s="4" t="s">
        <v>45</v>
      </c>
      <c r="C17" s="4" t="s">
        <v>145</v>
      </c>
      <c r="D17" s="9" t="s">
        <v>148</v>
      </c>
      <c r="E17" s="9" t="s">
        <v>143</v>
      </c>
      <c r="F17" s="5">
        <v>45812</v>
      </c>
      <c r="G17" s="5">
        <v>45812</v>
      </c>
      <c r="H17" s="24">
        <v>0.48958333333333331</v>
      </c>
      <c r="I17" s="4" t="s">
        <v>135</v>
      </c>
    </row>
    <row r="18" spans="1:9" ht="28.8" x14ac:dyDescent="0.3">
      <c r="A18" s="4">
        <v>17</v>
      </c>
      <c r="B18" s="4" t="s">
        <v>45</v>
      </c>
      <c r="C18" s="4" t="s">
        <v>149</v>
      </c>
      <c r="D18" s="9" t="s">
        <v>148</v>
      </c>
      <c r="E18" s="9" t="s">
        <v>134</v>
      </c>
      <c r="F18" s="5">
        <v>45813</v>
      </c>
      <c r="G18" s="5">
        <v>45813</v>
      </c>
      <c r="H18" s="24">
        <v>0.61805555555555558</v>
      </c>
      <c r="I18" s="4" t="s">
        <v>135</v>
      </c>
    </row>
    <row r="19" spans="1:9" ht="28.8" x14ac:dyDescent="0.3">
      <c r="A19" s="4">
        <v>18</v>
      </c>
      <c r="B19" s="4" t="s">
        <v>16</v>
      </c>
      <c r="C19" s="4" t="s">
        <v>147</v>
      </c>
      <c r="D19" s="9" t="s">
        <v>129</v>
      </c>
      <c r="E19" s="9" t="s">
        <v>130</v>
      </c>
      <c r="F19" s="5">
        <v>45818</v>
      </c>
      <c r="G19" s="5">
        <v>45818</v>
      </c>
      <c r="H19" s="24">
        <v>0.31597222222222221</v>
      </c>
      <c r="I19" s="4" t="s">
        <v>141</v>
      </c>
    </row>
    <row r="20" spans="1:9" x14ac:dyDescent="0.3">
      <c r="A20" s="4">
        <v>19</v>
      </c>
      <c r="B20" s="4" t="s">
        <v>30</v>
      </c>
      <c r="C20" s="4" t="s">
        <v>142</v>
      </c>
      <c r="D20" s="9" t="s">
        <v>129</v>
      </c>
      <c r="E20" s="9" t="s">
        <v>143</v>
      </c>
      <c r="F20" s="5">
        <v>45819</v>
      </c>
      <c r="G20" s="5">
        <v>45819</v>
      </c>
      <c r="H20" s="24">
        <v>0.37638888888888888</v>
      </c>
      <c r="I20" s="4" t="s">
        <v>141</v>
      </c>
    </row>
    <row r="21" spans="1:9" x14ac:dyDescent="0.3">
      <c r="A21" s="4">
        <v>20</v>
      </c>
      <c r="B21" s="4" t="s">
        <v>45</v>
      </c>
      <c r="C21" s="4" t="s">
        <v>150</v>
      </c>
      <c r="D21" s="9" t="s">
        <v>148</v>
      </c>
      <c r="E21" s="9" t="s">
        <v>134</v>
      </c>
      <c r="F21" s="5">
        <v>45821</v>
      </c>
      <c r="G21" s="5">
        <v>45821</v>
      </c>
      <c r="H21" s="24">
        <v>0.34375</v>
      </c>
      <c r="I21" s="4" t="s">
        <v>141</v>
      </c>
    </row>
    <row r="22" spans="1:9" x14ac:dyDescent="0.3">
      <c r="A22" s="4">
        <v>21</v>
      </c>
      <c r="B22" s="4" t="s">
        <v>45</v>
      </c>
      <c r="C22" s="4" t="s">
        <v>150</v>
      </c>
      <c r="D22" s="9" t="s">
        <v>148</v>
      </c>
      <c r="E22" s="9" t="s">
        <v>134</v>
      </c>
      <c r="F22" s="5">
        <v>45821</v>
      </c>
      <c r="G22" s="5">
        <v>45821</v>
      </c>
      <c r="H22" s="24">
        <v>0.34375</v>
      </c>
      <c r="I22" s="4" t="s">
        <v>141</v>
      </c>
    </row>
    <row r="23" spans="1:9" ht="28.8" x14ac:dyDescent="0.3">
      <c r="A23" s="4">
        <v>22</v>
      </c>
      <c r="B23" s="4" t="s">
        <v>45</v>
      </c>
      <c r="C23" s="4" t="s">
        <v>149</v>
      </c>
      <c r="D23" s="9" t="s">
        <v>148</v>
      </c>
      <c r="E23" s="9" t="s">
        <v>130</v>
      </c>
      <c r="F23" s="5">
        <v>45824</v>
      </c>
      <c r="G23" s="5">
        <v>45824</v>
      </c>
      <c r="H23" s="24">
        <v>0.40625</v>
      </c>
      <c r="I23" s="4" t="s">
        <v>141</v>
      </c>
    </row>
    <row r="24" spans="1:9" x14ac:dyDescent="0.3">
      <c r="A24" s="4">
        <v>23</v>
      </c>
      <c r="B24" s="4" t="s">
        <v>16</v>
      </c>
      <c r="C24" s="4" t="s">
        <v>151</v>
      </c>
      <c r="D24" s="9" t="s">
        <v>138</v>
      </c>
      <c r="E24" s="9" t="s">
        <v>134</v>
      </c>
      <c r="F24" s="5">
        <v>45824</v>
      </c>
      <c r="G24" s="5">
        <v>45824</v>
      </c>
      <c r="H24" s="24">
        <v>0.46875</v>
      </c>
      <c r="I24" s="4" t="s">
        <v>135</v>
      </c>
    </row>
    <row r="25" spans="1:9" x14ac:dyDescent="0.3">
      <c r="A25" s="4">
        <v>24</v>
      </c>
      <c r="B25" s="4" t="s">
        <v>30</v>
      </c>
      <c r="C25" s="4" t="s">
        <v>133</v>
      </c>
      <c r="D25" s="9" t="s">
        <v>129</v>
      </c>
      <c r="E25" s="9" t="s">
        <v>130</v>
      </c>
      <c r="F25" s="5">
        <v>45826</v>
      </c>
      <c r="G25" s="5">
        <v>45826</v>
      </c>
      <c r="H25" s="24">
        <v>0.46388888888888891</v>
      </c>
      <c r="I25" s="4" t="s">
        <v>135</v>
      </c>
    </row>
    <row r="26" spans="1:9" ht="28.8" x14ac:dyDescent="0.3">
      <c r="A26" s="4">
        <v>25</v>
      </c>
      <c r="B26" s="4" t="s">
        <v>16</v>
      </c>
      <c r="C26" s="4" t="s">
        <v>147</v>
      </c>
      <c r="D26" s="9" t="s">
        <v>129</v>
      </c>
      <c r="E26" s="9" t="s">
        <v>143</v>
      </c>
      <c r="F26" s="5">
        <v>45827</v>
      </c>
      <c r="G26" s="5">
        <v>45827</v>
      </c>
      <c r="H26" s="24">
        <v>0.29166666666666669</v>
      </c>
      <c r="I26" s="4" t="s">
        <v>141</v>
      </c>
    </row>
    <row r="27" spans="1:9" ht="28.8" x14ac:dyDescent="0.3">
      <c r="A27" s="4">
        <v>26</v>
      </c>
      <c r="B27" s="4" t="s">
        <v>45</v>
      </c>
      <c r="C27" s="4" t="s">
        <v>149</v>
      </c>
      <c r="D27" s="9" t="s">
        <v>148</v>
      </c>
      <c r="E27" s="9" t="s">
        <v>143</v>
      </c>
      <c r="F27" s="5">
        <v>45828</v>
      </c>
      <c r="G27" s="5">
        <v>45828</v>
      </c>
      <c r="H27" s="24">
        <v>0.43541666666666667</v>
      </c>
      <c r="I27" s="4" t="s">
        <v>141</v>
      </c>
    </row>
    <row r="28" spans="1:9" ht="28.8" x14ac:dyDescent="0.3">
      <c r="A28" s="4">
        <v>27</v>
      </c>
      <c r="B28" s="4" t="s">
        <v>30</v>
      </c>
      <c r="C28" s="4" t="s">
        <v>152</v>
      </c>
      <c r="D28" s="9" t="s">
        <v>138</v>
      </c>
      <c r="E28" s="9" t="s">
        <v>134</v>
      </c>
      <c r="F28" s="5">
        <v>45831</v>
      </c>
      <c r="G28" s="5">
        <v>45831</v>
      </c>
      <c r="H28" s="24">
        <v>0.37361111111111112</v>
      </c>
      <c r="I28" s="4" t="s">
        <v>141</v>
      </c>
    </row>
    <row r="29" spans="1:9" x14ac:dyDescent="0.3">
      <c r="A29" s="4">
        <v>28</v>
      </c>
      <c r="B29" s="4" t="s">
        <v>45</v>
      </c>
      <c r="C29" s="4" t="s">
        <v>150</v>
      </c>
      <c r="D29" s="9" t="s">
        <v>148</v>
      </c>
      <c r="E29" s="9" t="s">
        <v>130</v>
      </c>
      <c r="F29" s="5">
        <v>45832</v>
      </c>
      <c r="G29" s="5">
        <v>45832</v>
      </c>
      <c r="H29" s="24">
        <v>0.48958333333333331</v>
      </c>
      <c r="I29" s="4" t="s">
        <v>135</v>
      </c>
    </row>
    <row r="30" spans="1:9" ht="28.8" x14ac:dyDescent="0.3">
      <c r="A30" s="4">
        <v>29</v>
      </c>
      <c r="B30" s="4" t="s">
        <v>45</v>
      </c>
      <c r="C30" s="4" t="s">
        <v>153</v>
      </c>
      <c r="D30" s="9" t="s">
        <v>154</v>
      </c>
      <c r="E30" s="9" t="s">
        <v>134</v>
      </c>
      <c r="F30" s="5">
        <v>45832</v>
      </c>
      <c r="G30" s="5">
        <v>45832</v>
      </c>
      <c r="H30" s="24">
        <v>0.42291666666666666</v>
      </c>
      <c r="I30" s="4" t="s">
        <v>141</v>
      </c>
    </row>
    <row r="31" spans="1:9" x14ac:dyDescent="0.3">
      <c r="A31" s="4">
        <v>30</v>
      </c>
      <c r="B31" s="4" t="s">
        <v>45</v>
      </c>
      <c r="C31" s="4" t="s">
        <v>155</v>
      </c>
      <c r="D31" s="9" t="s">
        <v>148</v>
      </c>
      <c r="E31" s="9" t="s">
        <v>134</v>
      </c>
      <c r="F31" s="5">
        <v>45832</v>
      </c>
      <c r="G31" s="5">
        <v>45832</v>
      </c>
      <c r="H31" s="24">
        <v>0.4548611111111111</v>
      </c>
      <c r="I31" s="4" t="s">
        <v>141</v>
      </c>
    </row>
    <row r="32" spans="1:9" x14ac:dyDescent="0.3">
      <c r="A32" s="4">
        <v>31</v>
      </c>
      <c r="B32" s="4" t="s">
        <v>30</v>
      </c>
      <c r="C32" s="4" t="s">
        <v>156</v>
      </c>
      <c r="D32" s="9" t="s">
        <v>129</v>
      </c>
      <c r="E32" s="9" t="s">
        <v>134</v>
      </c>
      <c r="F32" s="5">
        <v>45834</v>
      </c>
      <c r="G32" s="5">
        <v>45834</v>
      </c>
      <c r="H32" s="24">
        <v>0.31458333333333333</v>
      </c>
      <c r="I32" s="4" t="s">
        <v>141</v>
      </c>
    </row>
    <row r="33" spans="1:9" x14ac:dyDescent="0.3">
      <c r="A33" s="4">
        <v>32</v>
      </c>
      <c r="B33" s="4" t="s">
        <v>30</v>
      </c>
      <c r="C33" s="4" t="s">
        <v>144</v>
      </c>
      <c r="D33" s="9" t="s">
        <v>129</v>
      </c>
      <c r="E33" s="9" t="s">
        <v>143</v>
      </c>
      <c r="F33" s="5">
        <v>45835</v>
      </c>
      <c r="G33" s="5">
        <v>45835</v>
      </c>
      <c r="H33" s="24">
        <v>0.3972222222222222</v>
      </c>
      <c r="I33" s="4" t="s">
        <v>141</v>
      </c>
    </row>
    <row r="34" spans="1:9" ht="28.8" x14ac:dyDescent="0.3">
      <c r="A34" s="4">
        <v>33</v>
      </c>
      <c r="B34" s="4" t="s">
        <v>16</v>
      </c>
      <c r="C34" s="4" t="s">
        <v>157</v>
      </c>
      <c r="D34" s="9" t="s">
        <v>138</v>
      </c>
      <c r="E34" s="9" t="s">
        <v>134</v>
      </c>
      <c r="F34" s="5">
        <v>45838</v>
      </c>
      <c r="G34" s="5">
        <v>45838</v>
      </c>
      <c r="H34" s="24">
        <v>0.41805555555555557</v>
      </c>
      <c r="I34" s="4" t="s">
        <v>141</v>
      </c>
    </row>
    <row r="35" spans="1:9" x14ac:dyDescent="0.3">
      <c r="A35" s="4">
        <v>34</v>
      </c>
      <c r="B35" s="4" t="s">
        <v>16</v>
      </c>
      <c r="C35" s="4" t="s">
        <v>151</v>
      </c>
      <c r="D35" s="9" t="s">
        <v>138</v>
      </c>
      <c r="E35" s="9" t="s">
        <v>130</v>
      </c>
      <c r="F35" s="5">
        <v>45839</v>
      </c>
      <c r="G35" s="5">
        <v>45839</v>
      </c>
      <c r="H35" s="24">
        <v>0.37847222222222221</v>
      </c>
      <c r="I35" s="4" t="s">
        <v>141</v>
      </c>
    </row>
    <row r="36" spans="1:9" x14ac:dyDescent="0.3">
      <c r="A36" s="4">
        <v>35</v>
      </c>
      <c r="B36" s="4" t="s">
        <v>45</v>
      </c>
      <c r="C36" s="4" t="s">
        <v>150</v>
      </c>
      <c r="D36" s="9" t="s">
        <v>148</v>
      </c>
      <c r="E36" s="9" t="s">
        <v>143</v>
      </c>
      <c r="F36" s="5">
        <v>45839</v>
      </c>
      <c r="G36" s="5">
        <v>45839</v>
      </c>
      <c r="H36" s="24">
        <v>0.4777777777777778</v>
      </c>
      <c r="I36" s="4" t="s">
        <v>135</v>
      </c>
    </row>
    <row r="37" spans="1:9" ht="28.8" x14ac:dyDescent="0.3">
      <c r="A37" s="4">
        <v>36</v>
      </c>
      <c r="B37" s="4" t="s">
        <v>30</v>
      </c>
      <c r="C37" s="4" t="s">
        <v>152</v>
      </c>
      <c r="D37" s="9" t="s">
        <v>138</v>
      </c>
      <c r="E37" s="9" t="s">
        <v>130</v>
      </c>
      <c r="F37" s="5">
        <v>45840</v>
      </c>
      <c r="G37" s="5">
        <v>45840</v>
      </c>
      <c r="H37" s="24">
        <v>0.28402777777777777</v>
      </c>
      <c r="I37" s="4" t="s">
        <v>141</v>
      </c>
    </row>
    <row r="38" spans="1:9" ht="28.8" x14ac:dyDescent="0.3">
      <c r="A38" s="4">
        <v>37</v>
      </c>
      <c r="B38" s="4" t="s">
        <v>16</v>
      </c>
      <c r="C38" s="4" t="s">
        <v>158</v>
      </c>
      <c r="D38" s="9" t="s">
        <v>129</v>
      </c>
      <c r="E38" s="9" t="s">
        <v>134</v>
      </c>
      <c r="F38" s="5">
        <v>45840</v>
      </c>
      <c r="G38" s="5">
        <v>45840</v>
      </c>
      <c r="H38" s="24">
        <v>0.39861111111111114</v>
      </c>
      <c r="I38" s="4" t="s">
        <v>141</v>
      </c>
    </row>
    <row r="39" spans="1:9" x14ac:dyDescent="0.3">
      <c r="A39" s="4">
        <v>38</v>
      </c>
      <c r="B39" s="4" t="s">
        <v>45</v>
      </c>
      <c r="C39" s="4" t="s">
        <v>155</v>
      </c>
      <c r="D39" s="9" t="s">
        <v>148</v>
      </c>
      <c r="E39" s="9" t="s">
        <v>130</v>
      </c>
      <c r="F39" s="5">
        <v>45840</v>
      </c>
      <c r="G39" s="5">
        <v>45840</v>
      </c>
      <c r="H39" s="24">
        <v>0.61944444444444446</v>
      </c>
      <c r="I39" s="4" t="s">
        <v>135</v>
      </c>
    </row>
    <row r="40" spans="1:9" ht="43.2" x14ac:dyDescent="0.3">
      <c r="A40" s="4">
        <v>39</v>
      </c>
      <c r="B40" s="9" t="s">
        <v>35</v>
      </c>
      <c r="C40" s="4" t="s">
        <v>159</v>
      </c>
      <c r="D40" s="9" t="s">
        <v>129</v>
      </c>
      <c r="E40" s="9" t="s">
        <v>134</v>
      </c>
      <c r="F40" s="5">
        <v>45841</v>
      </c>
      <c r="G40" s="5">
        <v>45841</v>
      </c>
      <c r="H40" s="24">
        <v>0.44374999999999998</v>
      </c>
      <c r="I40" s="4" t="s">
        <v>141</v>
      </c>
    </row>
    <row r="41" spans="1:9" ht="28.8" x14ac:dyDescent="0.3">
      <c r="A41" s="4">
        <v>40</v>
      </c>
      <c r="B41" s="9" t="s">
        <v>45</v>
      </c>
      <c r="C41" s="4" t="s">
        <v>153</v>
      </c>
      <c r="D41" s="9" t="s">
        <v>154</v>
      </c>
      <c r="E41" s="9" t="s">
        <v>130</v>
      </c>
      <c r="F41" s="5">
        <v>45841</v>
      </c>
      <c r="G41" s="5">
        <v>45841</v>
      </c>
      <c r="H41" s="24">
        <v>0.3527777777777778</v>
      </c>
      <c r="I41" s="4" t="s">
        <v>141</v>
      </c>
    </row>
    <row r="42" spans="1:9" x14ac:dyDescent="0.3">
      <c r="A42" s="4">
        <v>41</v>
      </c>
      <c r="B42" s="9" t="s">
        <v>16</v>
      </c>
      <c r="C42" s="4" t="s">
        <v>151</v>
      </c>
      <c r="D42" s="9" t="s">
        <v>138</v>
      </c>
      <c r="E42" s="9" t="s">
        <v>143</v>
      </c>
      <c r="F42" s="5">
        <v>45846</v>
      </c>
      <c r="G42" s="5">
        <v>45846</v>
      </c>
      <c r="H42" s="24">
        <v>0.37152777777777779</v>
      </c>
      <c r="I42" s="4" t="s">
        <v>141</v>
      </c>
    </row>
    <row r="43" spans="1:9" x14ac:dyDescent="0.3">
      <c r="A43" s="4">
        <v>42</v>
      </c>
      <c r="B43" s="9" t="s">
        <v>30</v>
      </c>
      <c r="C43" s="4" t="s">
        <v>156</v>
      </c>
      <c r="D43" s="9" t="s">
        <v>129</v>
      </c>
      <c r="E43" s="9" t="s">
        <v>130</v>
      </c>
      <c r="F43" s="5">
        <v>45846</v>
      </c>
      <c r="G43" s="5">
        <v>45846</v>
      </c>
      <c r="H43" s="24">
        <v>0.53055555555555556</v>
      </c>
      <c r="I43" s="4" t="s">
        <v>135</v>
      </c>
    </row>
    <row r="44" spans="1:9" x14ac:dyDescent="0.3">
      <c r="A44" s="4">
        <v>43</v>
      </c>
      <c r="B44" s="9" t="s">
        <v>30</v>
      </c>
      <c r="C44" s="4" t="s">
        <v>133</v>
      </c>
      <c r="D44" s="9" t="s">
        <v>129</v>
      </c>
      <c r="E44" s="9" t="s">
        <v>143</v>
      </c>
      <c r="F44" s="5">
        <v>45847</v>
      </c>
      <c r="G44" s="5">
        <v>45847</v>
      </c>
      <c r="H44" s="24">
        <v>0.41666666666666669</v>
      </c>
      <c r="I44" s="4" t="s">
        <v>141</v>
      </c>
    </row>
    <row r="45" spans="1:9" ht="28.8" x14ac:dyDescent="0.3">
      <c r="A45" s="4">
        <v>44</v>
      </c>
      <c r="B45" s="9" t="s">
        <v>30</v>
      </c>
      <c r="C45" s="4" t="s">
        <v>152</v>
      </c>
      <c r="D45" s="9" t="s">
        <v>138</v>
      </c>
      <c r="E45" s="9" t="s">
        <v>143</v>
      </c>
      <c r="F45" s="5">
        <v>45847</v>
      </c>
      <c r="G45" s="5">
        <v>45847</v>
      </c>
      <c r="H45" s="24">
        <v>0.4548611111111111</v>
      </c>
      <c r="I45" s="4" t="s">
        <v>141</v>
      </c>
    </row>
    <row r="46" spans="1:9" x14ac:dyDescent="0.3">
      <c r="A46" s="4">
        <v>45</v>
      </c>
      <c r="B46" s="9" t="s">
        <v>45</v>
      </c>
      <c r="C46" s="4" t="s">
        <v>155</v>
      </c>
      <c r="D46" s="9" t="s">
        <v>148</v>
      </c>
      <c r="E46" s="9" t="s">
        <v>143</v>
      </c>
      <c r="F46" s="5">
        <v>45848</v>
      </c>
      <c r="G46" s="5">
        <v>45848</v>
      </c>
      <c r="H46" s="24">
        <v>0.37222222222222223</v>
      </c>
      <c r="I46" s="4" t="s">
        <v>141</v>
      </c>
    </row>
    <row r="47" spans="1:9" ht="28.8" x14ac:dyDescent="0.3">
      <c r="A47" s="4">
        <v>46</v>
      </c>
      <c r="B47" s="9" t="s">
        <v>45</v>
      </c>
      <c r="C47" s="4" t="s">
        <v>153</v>
      </c>
      <c r="D47" s="9" t="s">
        <v>154</v>
      </c>
      <c r="E47" s="9" t="s">
        <v>143</v>
      </c>
      <c r="F47" s="5">
        <v>45849</v>
      </c>
      <c r="G47" s="5">
        <v>45849</v>
      </c>
      <c r="H47" s="24">
        <v>0.52222222222222225</v>
      </c>
      <c r="I47" s="4" t="s">
        <v>135</v>
      </c>
    </row>
    <row r="48" spans="1:9" ht="28.8" x14ac:dyDescent="0.3">
      <c r="A48" s="4">
        <v>47</v>
      </c>
      <c r="B48" s="9" t="s">
        <v>16</v>
      </c>
      <c r="C48" s="4" t="s">
        <v>157</v>
      </c>
      <c r="D48" s="9" t="s">
        <v>138</v>
      </c>
      <c r="E48" s="9" t="s">
        <v>130</v>
      </c>
      <c r="F48" s="5">
        <v>45854</v>
      </c>
      <c r="G48" s="5">
        <v>45854</v>
      </c>
      <c r="H48" s="24">
        <v>0.3840277777777778</v>
      </c>
      <c r="I48" s="4" t="s">
        <v>141</v>
      </c>
    </row>
    <row r="49" spans="1:9" ht="28.8" x14ac:dyDescent="0.3">
      <c r="A49" s="4">
        <v>48</v>
      </c>
      <c r="B49" s="9" t="s">
        <v>16</v>
      </c>
      <c r="C49" s="4" t="s">
        <v>158</v>
      </c>
      <c r="D49" s="9" t="s">
        <v>129</v>
      </c>
      <c r="E49" s="9" t="s">
        <v>130</v>
      </c>
      <c r="F49" s="5">
        <v>45856</v>
      </c>
      <c r="G49" s="5">
        <v>45856</v>
      </c>
      <c r="H49" s="24">
        <v>0.44861111111111113</v>
      </c>
      <c r="I49" s="4" t="s">
        <v>141</v>
      </c>
    </row>
    <row r="50" spans="1:9" x14ac:dyDescent="0.3">
      <c r="A50" s="4">
        <v>49</v>
      </c>
      <c r="B50" s="9" t="s">
        <v>30</v>
      </c>
      <c r="C50" s="4" t="s">
        <v>156</v>
      </c>
      <c r="D50" s="9" t="s">
        <v>129</v>
      </c>
      <c r="E50" s="9" t="s">
        <v>130</v>
      </c>
      <c r="F50" s="5">
        <v>45860</v>
      </c>
      <c r="G50" s="5">
        <v>45860</v>
      </c>
      <c r="H50" s="24">
        <v>0.45902777777777776</v>
      </c>
      <c r="I50" s="4" t="s">
        <v>141</v>
      </c>
    </row>
    <row r="51" spans="1:9" ht="43.2" x14ac:dyDescent="0.3">
      <c r="A51" s="4">
        <v>50</v>
      </c>
      <c r="B51" s="9" t="s">
        <v>35</v>
      </c>
      <c r="C51" s="4" t="s">
        <v>159</v>
      </c>
      <c r="D51" s="9" t="s">
        <v>129</v>
      </c>
      <c r="E51" s="9" t="s">
        <v>130</v>
      </c>
      <c r="F51" s="5">
        <v>45861</v>
      </c>
      <c r="G51" s="5">
        <v>45861</v>
      </c>
      <c r="H51" s="24">
        <v>0.50486111111111109</v>
      </c>
      <c r="I51" s="4" t="s">
        <v>135</v>
      </c>
    </row>
    <row r="52" spans="1:9" ht="28.8" x14ac:dyDescent="0.3">
      <c r="A52" s="4">
        <v>51</v>
      </c>
      <c r="B52" s="9" t="s">
        <v>16</v>
      </c>
      <c r="C52" s="4" t="s">
        <v>160</v>
      </c>
      <c r="D52" s="9" t="s">
        <v>129</v>
      </c>
      <c r="E52" s="9" t="s">
        <v>134</v>
      </c>
      <c r="F52" s="5">
        <v>45861</v>
      </c>
      <c r="G52" s="5">
        <v>45861</v>
      </c>
      <c r="H52" s="24">
        <v>0.36319444444444443</v>
      </c>
      <c r="I52" s="4" t="s">
        <v>141</v>
      </c>
    </row>
    <row r="53" spans="1:9" ht="28.8" x14ac:dyDescent="0.3">
      <c r="A53" s="4">
        <v>52</v>
      </c>
      <c r="B53" s="9" t="s">
        <v>16</v>
      </c>
      <c r="C53" s="4" t="s">
        <v>157</v>
      </c>
      <c r="D53" s="9" t="s">
        <v>138</v>
      </c>
      <c r="E53" s="9" t="s">
        <v>143</v>
      </c>
      <c r="F53" s="5">
        <v>45862</v>
      </c>
      <c r="G53" s="5">
        <v>45862</v>
      </c>
      <c r="H53" s="24">
        <v>0.51736111111111116</v>
      </c>
      <c r="I53" s="4" t="s">
        <v>135</v>
      </c>
    </row>
    <row r="54" spans="1:9" x14ac:dyDescent="0.3">
      <c r="A54" s="4">
        <v>53</v>
      </c>
      <c r="B54" s="9" t="s">
        <v>16</v>
      </c>
      <c r="C54" s="4" t="s">
        <v>17</v>
      </c>
      <c r="D54" s="9" t="s">
        <v>129</v>
      </c>
      <c r="E54" s="9" t="s">
        <v>134</v>
      </c>
      <c r="F54" s="5">
        <v>45863</v>
      </c>
      <c r="G54" s="5">
        <v>45866</v>
      </c>
      <c r="H54" s="24">
        <v>0.36458333333333331</v>
      </c>
      <c r="I54" s="4" t="s">
        <v>141</v>
      </c>
    </row>
    <row r="55" spans="1:9" ht="28.8" x14ac:dyDescent="0.3">
      <c r="A55" s="4">
        <v>54</v>
      </c>
      <c r="B55" s="9" t="s">
        <v>16</v>
      </c>
      <c r="C55" s="4" t="s">
        <v>158</v>
      </c>
      <c r="D55" s="9" t="s">
        <v>129</v>
      </c>
      <c r="E55" s="9" t="s">
        <v>143</v>
      </c>
      <c r="F55" s="5">
        <v>45868</v>
      </c>
      <c r="G55" s="5">
        <v>45868</v>
      </c>
      <c r="H55" s="24">
        <v>0.39791666666666664</v>
      </c>
      <c r="I55" s="4" t="s">
        <v>141</v>
      </c>
    </row>
    <row r="56" spans="1:9" ht="28.8" x14ac:dyDescent="0.3">
      <c r="A56" s="4">
        <v>55</v>
      </c>
      <c r="B56" s="9" t="s">
        <v>16</v>
      </c>
      <c r="C56" s="4" t="s">
        <v>26</v>
      </c>
      <c r="D56" s="9" t="s">
        <v>129</v>
      </c>
      <c r="E56" s="9" t="s">
        <v>134</v>
      </c>
      <c r="F56" s="5">
        <v>45874</v>
      </c>
      <c r="G56" s="5">
        <v>45874</v>
      </c>
      <c r="H56" s="24">
        <v>0.4548611111111111</v>
      </c>
      <c r="I56" s="4" t="s">
        <v>141</v>
      </c>
    </row>
    <row r="57" spans="1:9" ht="43.2" x14ac:dyDescent="0.3">
      <c r="A57" s="4">
        <v>56</v>
      </c>
      <c r="B57" s="9" t="s">
        <v>35</v>
      </c>
      <c r="C57" s="4" t="s">
        <v>159</v>
      </c>
      <c r="D57" s="9" t="s">
        <v>129</v>
      </c>
      <c r="E57" s="9" t="s">
        <v>143</v>
      </c>
      <c r="F57" s="5">
        <v>45875</v>
      </c>
      <c r="G57" s="5">
        <v>45875</v>
      </c>
      <c r="H57" s="24">
        <v>0.45208333333333334</v>
      </c>
      <c r="I57" s="4" t="s">
        <v>141</v>
      </c>
    </row>
    <row r="58" spans="1:9" ht="28.8" x14ac:dyDescent="0.3">
      <c r="A58" s="4">
        <v>57</v>
      </c>
      <c r="B58" s="9" t="s">
        <v>16</v>
      </c>
      <c r="C58" s="4" t="s">
        <v>160</v>
      </c>
      <c r="D58" s="9" t="s">
        <v>129</v>
      </c>
      <c r="E58" s="9" t="s">
        <v>130</v>
      </c>
      <c r="F58" s="5">
        <v>45876</v>
      </c>
      <c r="G58" s="5">
        <v>45876</v>
      </c>
      <c r="H58" s="24">
        <v>0.39652777777777776</v>
      </c>
      <c r="I58" s="4" t="s">
        <v>141</v>
      </c>
    </row>
    <row r="59" spans="1:9" x14ac:dyDescent="0.3">
      <c r="A59" s="4">
        <v>58</v>
      </c>
      <c r="B59" s="9" t="s">
        <v>30</v>
      </c>
      <c r="C59" s="4" t="s">
        <v>156</v>
      </c>
      <c r="D59" s="9" t="s">
        <v>129</v>
      </c>
      <c r="E59" s="9" t="s">
        <v>143</v>
      </c>
      <c r="F59" s="5">
        <v>45877</v>
      </c>
      <c r="G59" s="5">
        <v>45877</v>
      </c>
      <c r="H59" s="24">
        <v>0.45694444444444443</v>
      </c>
      <c r="I59" s="4" t="s">
        <v>141</v>
      </c>
    </row>
    <row r="60" spans="1:9" ht="28.8" x14ac:dyDescent="0.3">
      <c r="A60" s="4">
        <v>59</v>
      </c>
      <c r="B60" s="9" t="s">
        <v>16</v>
      </c>
      <c r="C60" s="4" t="s">
        <v>26</v>
      </c>
      <c r="D60" s="9" t="s">
        <v>129</v>
      </c>
      <c r="E60" s="9" t="s">
        <v>130</v>
      </c>
      <c r="F60" s="5">
        <v>45883</v>
      </c>
      <c r="G60" s="5">
        <v>45883</v>
      </c>
      <c r="H60" s="24">
        <v>0.45763888888888887</v>
      </c>
      <c r="I60" s="4" t="s">
        <v>141</v>
      </c>
    </row>
    <row r="61" spans="1:9" ht="28.8" x14ac:dyDescent="0.3">
      <c r="A61" s="4">
        <v>60</v>
      </c>
      <c r="B61" s="9" t="s">
        <v>16</v>
      </c>
      <c r="C61" s="4" t="s">
        <v>160</v>
      </c>
      <c r="D61" s="9" t="s">
        <v>129</v>
      </c>
      <c r="E61" s="9" t="s">
        <v>143</v>
      </c>
      <c r="F61" s="5">
        <v>45887</v>
      </c>
      <c r="G61" s="5">
        <v>45887</v>
      </c>
      <c r="H61" s="24">
        <v>0.43958333333333333</v>
      </c>
      <c r="I61" s="4" t="s">
        <v>141</v>
      </c>
    </row>
    <row r="62" spans="1:9" ht="28.8" x14ac:dyDescent="0.3">
      <c r="A62" s="4">
        <v>61</v>
      </c>
      <c r="B62" s="9" t="s">
        <v>16</v>
      </c>
      <c r="C62" s="4" t="s">
        <v>26</v>
      </c>
      <c r="D62" s="9" t="s">
        <v>129</v>
      </c>
      <c r="E62" s="9" t="s">
        <v>130</v>
      </c>
      <c r="F62" s="5">
        <v>45889</v>
      </c>
      <c r="G62" s="5">
        <v>45889</v>
      </c>
      <c r="H62" s="24">
        <v>0.44027777777777777</v>
      </c>
      <c r="I62" s="4" t="s">
        <v>141</v>
      </c>
    </row>
    <row r="63" spans="1:9" ht="28.8" x14ac:dyDescent="0.3">
      <c r="A63" s="4">
        <v>62</v>
      </c>
      <c r="B63" s="9" t="s">
        <v>30</v>
      </c>
      <c r="C63" s="4" t="s">
        <v>31</v>
      </c>
      <c r="D63" s="9" t="s">
        <v>129</v>
      </c>
      <c r="E63" s="9" t="s">
        <v>134</v>
      </c>
      <c r="F63" s="5">
        <v>45891</v>
      </c>
      <c r="G63" s="5">
        <v>45891</v>
      </c>
      <c r="H63" s="24">
        <v>0.51249999999999996</v>
      </c>
      <c r="I63" s="4" t="s">
        <v>135</v>
      </c>
    </row>
    <row r="64" spans="1:9" ht="28.8" x14ac:dyDescent="0.3">
      <c r="A64" s="4">
        <v>63</v>
      </c>
      <c r="B64" s="9" t="s">
        <v>16</v>
      </c>
      <c r="C64" s="4" t="s">
        <v>26</v>
      </c>
      <c r="D64" s="9" t="s">
        <v>129</v>
      </c>
      <c r="E64" s="9" t="s">
        <v>130</v>
      </c>
      <c r="F64" s="5">
        <v>45896</v>
      </c>
      <c r="G64" s="5">
        <v>45896</v>
      </c>
      <c r="H64" s="24">
        <v>0.44444444444444442</v>
      </c>
      <c r="I64" s="4" t="s">
        <v>141</v>
      </c>
    </row>
    <row r="65" spans="1:9" x14ac:dyDescent="0.3">
      <c r="A65" s="4">
        <v>64</v>
      </c>
      <c r="B65" s="9" t="s">
        <v>16</v>
      </c>
      <c r="C65" s="4" t="s">
        <v>17</v>
      </c>
      <c r="D65" s="9" t="s">
        <v>129</v>
      </c>
      <c r="E65" s="9" t="s">
        <v>130</v>
      </c>
      <c r="F65" s="5">
        <v>45902</v>
      </c>
      <c r="G65" s="5">
        <v>45902</v>
      </c>
      <c r="H65" s="24">
        <v>0.69861111111111107</v>
      </c>
      <c r="I65" s="4" t="s">
        <v>135</v>
      </c>
    </row>
    <row r="66" spans="1:9" ht="28.8" x14ac:dyDescent="0.3">
      <c r="A66" s="4">
        <v>65</v>
      </c>
      <c r="B66" s="9" t="s">
        <v>16</v>
      </c>
      <c r="C66" s="4" t="s">
        <v>26</v>
      </c>
      <c r="D66" s="9" t="s">
        <v>129</v>
      </c>
      <c r="E66" s="9" t="s">
        <v>130</v>
      </c>
      <c r="F66" s="5">
        <v>45903</v>
      </c>
      <c r="G66" s="5">
        <v>45903</v>
      </c>
      <c r="H66" s="24">
        <v>0.3972222222222222</v>
      </c>
      <c r="I66" s="4" t="s">
        <v>141</v>
      </c>
    </row>
    <row r="67" spans="1:9" x14ac:dyDescent="0.3">
      <c r="A67" s="4">
        <v>66</v>
      </c>
      <c r="B67" s="9" t="s">
        <v>16</v>
      </c>
      <c r="C67" s="4" t="s">
        <v>23</v>
      </c>
      <c r="D67" s="9" t="s">
        <v>129</v>
      </c>
      <c r="E67" s="9" t="s">
        <v>134</v>
      </c>
      <c r="F67" s="5">
        <v>45904</v>
      </c>
      <c r="G67" s="5">
        <v>45904</v>
      </c>
      <c r="H67" s="24">
        <v>0.45694444444444443</v>
      </c>
      <c r="I67" s="4" t="s">
        <v>141</v>
      </c>
    </row>
    <row r="68" spans="1:9" ht="28.8" x14ac:dyDescent="0.3">
      <c r="A68" s="4">
        <v>67</v>
      </c>
      <c r="B68" s="9" t="s">
        <v>35</v>
      </c>
      <c r="C68" s="4" t="s">
        <v>36</v>
      </c>
      <c r="D68" s="9" t="s">
        <v>129</v>
      </c>
      <c r="E68" s="9" t="s">
        <v>134</v>
      </c>
      <c r="F68" s="5">
        <v>45909</v>
      </c>
      <c r="G68" s="5">
        <v>45909</v>
      </c>
      <c r="H68" s="24">
        <v>0.35972222222222222</v>
      </c>
      <c r="I68" s="4" t="s">
        <v>141</v>
      </c>
    </row>
    <row r="69" spans="1:9" ht="28.8" x14ac:dyDescent="0.3">
      <c r="A69" s="4">
        <v>68</v>
      </c>
      <c r="B69" s="9" t="s">
        <v>16</v>
      </c>
      <c r="C69" s="4" t="s">
        <v>26</v>
      </c>
      <c r="D69" s="9" t="s">
        <v>129</v>
      </c>
      <c r="E69" s="9" t="s">
        <v>130</v>
      </c>
      <c r="F69" s="5">
        <v>45909</v>
      </c>
      <c r="G69" s="5">
        <v>45909</v>
      </c>
      <c r="H69" s="24">
        <v>0.39861111111111114</v>
      </c>
      <c r="I69" s="4" t="s">
        <v>141</v>
      </c>
    </row>
    <row r="70" spans="1:9" ht="28.8" x14ac:dyDescent="0.3">
      <c r="A70" s="4">
        <v>69</v>
      </c>
      <c r="B70" s="9" t="s">
        <v>16</v>
      </c>
      <c r="C70" s="4" t="s">
        <v>40</v>
      </c>
      <c r="D70" s="9" t="s">
        <v>129</v>
      </c>
      <c r="E70" s="9" t="s">
        <v>134</v>
      </c>
      <c r="F70" s="5">
        <v>45910</v>
      </c>
      <c r="G70" s="5">
        <v>45910</v>
      </c>
      <c r="H70" s="24">
        <v>0.42083333333333334</v>
      </c>
      <c r="I70" s="4" t="s">
        <v>141</v>
      </c>
    </row>
    <row r="71" spans="1:9" x14ac:dyDescent="0.3">
      <c r="A71" s="4">
        <v>70</v>
      </c>
      <c r="B71" s="9" t="s">
        <v>30</v>
      </c>
      <c r="C71" s="4" t="s">
        <v>38</v>
      </c>
      <c r="D71" s="9" t="s">
        <v>129</v>
      </c>
      <c r="E71" s="9" t="s">
        <v>134</v>
      </c>
      <c r="F71" s="5">
        <v>45911</v>
      </c>
      <c r="G71" s="5">
        <v>45911</v>
      </c>
      <c r="H71" s="24">
        <v>0.45763888888888887</v>
      </c>
      <c r="I71" s="4" t="s">
        <v>141</v>
      </c>
    </row>
    <row r="72" spans="1:9" ht="28.8" x14ac:dyDescent="0.3">
      <c r="A72" s="4">
        <v>71</v>
      </c>
      <c r="B72" s="9" t="s">
        <v>30</v>
      </c>
      <c r="C72" s="4" t="s">
        <v>31</v>
      </c>
      <c r="D72" s="9" t="s">
        <v>129</v>
      </c>
      <c r="E72" s="9" t="s">
        <v>130</v>
      </c>
      <c r="F72" s="5">
        <v>45915</v>
      </c>
      <c r="G72" s="5">
        <v>45915</v>
      </c>
      <c r="H72" s="24">
        <v>0.4465277777777778</v>
      </c>
      <c r="I72" s="4" t="s">
        <v>141</v>
      </c>
    </row>
    <row r="73" spans="1:9" ht="28.8" x14ac:dyDescent="0.3">
      <c r="A73" s="4">
        <v>72</v>
      </c>
      <c r="B73" s="9" t="s">
        <v>45</v>
      </c>
      <c r="C73" s="4" t="s">
        <v>46</v>
      </c>
      <c r="D73" s="9" t="s">
        <v>148</v>
      </c>
      <c r="E73" s="9" t="s">
        <v>134</v>
      </c>
      <c r="F73" s="5">
        <v>45916</v>
      </c>
      <c r="G73" s="5">
        <v>45916</v>
      </c>
      <c r="H73" s="24">
        <v>0.39027777777777778</v>
      </c>
      <c r="I73" s="4" t="s">
        <v>141</v>
      </c>
    </row>
    <row r="74" spans="1:9" ht="28.8" x14ac:dyDescent="0.3">
      <c r="A74" s="4">
        <v>73</v>
      </c>
      <c r="B74" s="9" t="s">
        <v>16</v>
      </c>
      <c r="C74" s="4" t="s">
        <v>26</v>
      </c>
      <c r="D74" s="9" t="s">
        <v>129</v>
      </c>
      <c r="E74" s="9" t="s">
        <v>130</v>
      </c>
      <c r="F74" s="5">
        <v>45916</v>
      </c>
      <c r="G74" s="5">
        <v>45916</v>
      </c>
      <c r="H74" s="24">
        <v>0.44722222222222224</v>
      </c>
      <c r="I74" s="4" t="s">
        <v>141</v>
      </c>
    </row>
    <row r="75" spans="1:9" ht="28.8" x14ac:dyDescent="0.3">
      <c r="A75" s="4">
        <v>74</v>
      </c>
      <c r="B75" s="9" t="s">
        <v>30</v>
      </c>
      <c r="C75" s="4" t="s">
        <v>33</v>
      </c>
      <c r="D75" s="9" t="s">
        <v>138</v>
      </c>
      <c r="E75" s="9" t="s">
        <v>134</v>
      </c>
      <c r="F75" s="5">
        <v>45917</v>
      </c>
      <c r="G75" s="5">
        <v>45917</v>
      </c>
      <c r="H75" s="24">
        <v>0.51249999999999996</v>
      </c>
      <c r="I75" s="4" t="s">
        <v>135</v>
      </c>
    </row>
    <row r="76" spans="1:9" ht="28.8" x14ac:dyDescent="0.3">
      <c r="A76" s="4">
        <v>75</v>
      </c>
      <c r="B76" s="9" t="s">
        <v>16</v>
      </c>
      <c r="C76" s="4" t="s">
        <v>26</v>
      </c>
      <c r="D76" s="9" t="s">
        <v>129</v>
      </c>
      <c r="E76" s="9" t="s">
        <v>143</v>
      </c>
      <c r="F76" s="5">
        <v>45924</v>
      </c>
      <c r="G76" s="5">
        <v>45924</v>
      </c>
      <c r="H76" s="24">
        <v>0.2722222222222222</v>
      </c>
      <c r="I76" s="4" t="s">
        <v>141</v>
      </c>
    </row>
    <row r="77" spans="1:9" ht="28.8" x14ac:dyDescent="0.3">
      <c r="A77" s="4">
        <v>76</v>
      </c>
      <c r="B77" s="9" t="s">
        <v>16</v>
      </c>
      <c r="C77" s="4" t="s">
        <v>40</v>
      </c>
      <c r="D77" s="9" t="s">
        <v>129</v>
      </c>
      <c r="E77" s="9" t="s">
        <v>130</v>
      </c>
      <c r="F77" s="5">
        <v>45924</v>
      </c>
      <c r="G77" s="5">
        <v>45924</v>
      </c>
      <c r="H77" s="24">
        <v>0.31458333333333333</v>
      </c>
      <c r="I77" s="4" t="s">
        <v>141</v>
      </c>
    </row>
    <row r="78" spans="1:9" ht="28.8" x14ac:dyDescent="0.3">
      <c r="A78" s="4">
        <v>77</v>
      </c>
      <c r="B78" s="9" t="s">
        <v>35</v>
      </c>
      <c r="C78" s="4" t="s">
        <v>36</v>
      </c>
      <c r="D78" s="9" t="s">
        <v>129</v>
      </c>
      <c r="E78" s="9" t="s">
        <v>130</v>
      </c>
      <c r="F78" s="5">
        <v>45925</v>
      </c>
      <c r="G78" s="5">
        <v>45925</v>
      </c>
      <c r="H78" s="24">
        <v>0.45624999999999999</v>
      </c>
      <c r="I78" s="4" t="s">
        <v>141</v>
      </c>
    </row>
    <row r="79" spans="1:9" ht="28.8" x14ac:dyDescent="0.3">
      <c r="A79" s="4">
        <v>78</v>
      </c>
      <c r="B79" s="9" t="s">
        <v>30</v>
      </c>
      <c r="C79" s="4" t="s">
        <v>31</v>
      </c>
      <c r="D79" s="9" t="s">
        <v>129</v>
      </c>
      <c r="E79" s="9" t="s">
        <v>143</v>
      </c>
      <c r="F79" s="5">
        <v>45925</v>
      </c>
      <c r="G79" s="5">
        <v>45925</v>
      </c>
      <c r="H79" s="24">
        <v>0.54791666666666672</v>
      </c>
      <c r="I79" s="4" t="s">
        <v>135</v>
      </c>
    </row>
    <row r="80" spans="1:9" x14ac:dyDescent="0.3">
      <c r="A80" s="4">
        <v>79</v>
      </c>
      <c r="B80" s="9" t="s">
        <v>16</v>
      </c>
      <c r="C80" s="4" t="s">
        <v>17</v>
      </c>
      <c r="D80" s="9" t="s">
        <v>129</v>
      </c>
      <c r="E80" s="9" t="s">
        <v>143</v>
      </c>
      <c r="F80" s="5">
        <v>45930</v>
      </c>
      <c r="G80" s="5">
        <v>45931</v>
      </c>
      <c r="H80" s="24">
        <v>0.3923611111111111</v>
      </c>
      <c r="I80" s="4" t="s">
        <v>135</v>
      </c>
    </row>
    <row r="81" spans="1:9" x14ac:dyDescent="0.3">
      <c r="A81" s="4">
        <v>80</v>
      </c>
      <c r="B81" s="9" t="s">
        <v>30</v>
      </c>
      <c r="C81" s="4" t="s">
        <v>38</v>
      </c>
      <c r="D81" s="9" t="s">
        <v>129</v>
      </c>
      <c r="E81" s="9" t="s">
        <v>130</v>
      </c>
      <c r="F81" s="5">
        <v>45931</v>
      </c>
      <c r="G81" s="5">
        <v>45931</v>
      </c>
      <c r="H81" s="24">
        <v>0.45694444444444443</v>
      </c>
      <c r="I81" s="4" t="s">
        <v>141</v>
      </c>
    </row>
    <row r="82" spans="1:9" ht="28.8" x14ac:dyDescent="0.3">
      <c r="A82" s="4">
        <v>81</v>
      </c>
      <c r="B82" s="9" t="s">
        <v>16</v>
      </c>
      <c r="C82" s="4" t="s">
        <v>40</v>
      </c>
      <c r="D82" s="9" t="s">
        <v>129</v>
      </c>
      <c r="E82" s="9" t="s">
        <v>143</v>
      </c>
      <c r="F82" s="5">
        <v>45931</v>
      </c>
      <c r="G82" s="5">
        <v>45931</v>
      </c>
      <c r="H82" s="24">
        <v>0.4375</v>
      </c>
      <c r="I82" s="4" t="s">
        <v>141</v>
      </c>
    </row>
    <row r="83" spans="1:9" ht="28.8" x14ac:dyDescent="0.3">
      <c r="A83" s="4">
        <v>82</v>
      </c>
      <c r="B83" s="9" t="s">
        <v>45</v>
      </c>
      <c r="C83" s="4" t="s">
        <v>46</v>
      </c>
      <c r="D83" s="9" t="s">
        <v>146</v>
      </c>
      <c r="E83" s="9" t="s">
        <v>143</v>
      </c>
      <c r="F83" s="5">
        <v>45933</v>
      </c>
      <c r="G83" s="5">
        <v>45933</v>
      </c>
      <c r="H83" s="24">
        <v>0.2986111111111111</v>
      </c>
      <c r="I83" s="4" t="s">
        <v>141</v>
      </c>
    </row>
    <row r="84" spans="1:9" ht="28.8" x14ac:dyDescent="0.3">
      <c r="A84" s="4">
        <v>83</v>
      </c>
      <c r="B84" s="9" t="s">
        <v>35</v>
      </c>
      <c r="C84" s="4" t="s">
        <v>36</v>
      </c>
      <c r="D84" s="9" t="s">
        <v>129</v>
      </c>
      <c r="E84" s="9" t="s">
        <v>143</v>
      </c>
      <c r="F84" s="5">
        <v>45940</v>
      </c>
      <c r="G84" s="5">
        <v>45940</v>
      </c>
      <c r="H84" s="24">
        <v>0.40555555555555556</v>
      </c>
      <c r="I84" s="4" t="s">
        <v>141</v>
      </c>
    </row>
    <row r="85" spans="1:9" ht="28.8" x14ac:dyDescent="0.3">
      <c r="A85" s="4">
        <v>84</v>
      </c>
      <c r="B85" s="9" t="s">
        <v>30</v>
      </c>
      <c r="C85" s="4" t="s">
        <v>33</v>
      </c>
      <c r="D85" s="9" t="s">
        <v>138</v>
      </c>
      <c r="E85" s="9" t="s">
        <v>130</v>
      </c>
      <c r="F85" s="5">
        <v>45944</v>
      </c>
      <c r="G85" s="5">
        <v>45944</v>
      </c>
      <c r="H85" s="24">
        <v>0.52777777777777779</v>
      </c>
      <c r="I85" s="4" t="s">
        <v>135</v>
      </c>
    </row>
    <row r="86" spans="1:9" x14ac:dyDescent="0.3">
      <c r="A86" s="4">
        <v>85</v>
      </c>
      <c r="B86" s="9" t="s">
        <v>30</v>
      </c>
      <c r="C86" s="4" t="s">
        <v>38</v>
      </c>
      <c r="D86" s="9" t="s">
        <v>129</v>
      </c>
      <c r="E86" s="9" t="s">
        <v>143</v>
      </c>
      <c r="F86" s="5">
        <v>45954</v>
      </c>
      <c r="G86" s="5">
        <v>45954</v>
      </c>
      <c r="H86" s="24">
        <v>0.44027777777777777</v>
      </c>
      <c r="I86" s="4" t="s">
        <v>141</v>
      </c>
    </row>
    <row r="87" spans="1:9" ht="28.8" x14ac:dyDescent="0.3">
      <c r="A87" s="4">
        <v>0</v>
      </c>
      <c r="B87" s="9" t="s">
        <v>30</v>
      </c>
      <c r="C87" s="4" t="s">
        <v>33</v>
      </c>
      <c r="D87" s="9" t="s">
        <v>138</v>
      </c>
      <c r="E87" s="9" t="s">
        <v>130</v>
      </c>
      <c r="F87" s="5">
        <v>45954</v>
      </c>
      <c r="G87" s="5">
        <v>45955</v>
      </c>
      <c r="H87" s="24">
        <v>0.43819444444444444</v>
      </c>
      <c r="I87" s="4" t="s">
        <v>135</v>
      </c>
    </row>
  </sheetData>
  <autoFilter ref="A1:I87" xr:uid="{E5FD28A1-82CD-4177-AA84-0A65CC91B5CC}"/>
  <pageMargins left="0.7" right="0.7" top="0.75" bottom="0.75" header="0.3" footer="0.3"/>
  <customProperties>
    <customPr name="LastActiv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9690-925E-4156-9845-B66074204283}">
  <dimension ref="A1:J48"/>
  <sheetViews>
    <sheetView topLeftCell="A35" zoomScale="85" zoomScaleNormal="85" workbookViewId="0">
      <selection activeCell="A49" sqref="A49"/>
    </sheetView>
  </sheetViews>
  <sheetFormatPr defaultRowHeight="14.4" x14ac:dyDescent="0.3"/>
  <cols>
    <col min="1" max="1" width="6.77734375" bestFit="1" customWidth="1"/>
    <col min="2" max="3" width="15.77734375" customWidth="1"/>
    <col min="4" max="4" width="29.5546875" customWidth="1"/>
    <col min="5" max="5" width="14.77734375" customWidth="1"/>
    <col min="6" max="6" width="30.5546875" bestFit="1" customWidth="1"/>
    <col min="7" max="7" width="31.21875" bestFit="1" customWidth="1"/>
    <col min="8" max="8" width="13.21875" bestFit="1" customWidth="1"/>
    <col min="9" max="9" width="22.21875" bestFit="1" customWidth="1"/>
    <col min="10" max="10" width="32.77734375" bestFit="1" customWidth="1"/>
  </cols>
  <sheetData>
    <row r="1" spans="1:10" x14ac:dyDescent="0.3">
      <c r="A1" s="1" t="s">
        <v>0</v>
      </c>
      <c r="B1" s="1" t="s">
        <v>1</v>
      </c>
      <c r="C1" s="1" t="s">
        <v>161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</row>
    <row r="2" spans="1:10" ht="28.8" x14ac:dyDescent="0.3">
      <c r="A2" s="9">
        <v>1</v>
      </c>
      <c r="B2" s="9" t="s">
        <v>162</v>
      </c>
      <c r="C2" s="9" t="s">
        <v>35</v>
      </c>
      <c r="D2" s="4" t="s">
        <v>163</v>
      </c>
      <c r="E2" s="9" t="s">
        <v>18</v>
      </c>
      <c r="F2" s="5">
        <v>45586</v>
      </c>
      <c r="G2" s="5">
        <v>45645</v>
      </c>
      <c r="H2" s="4" t="s">
        <v>27</v>
      </c>
      <c r="I2" s="4">
        <v>275</v>
      </c>
      <c r="J2" s="4">
        <v>275</v>
      </c>
    </row>
    <row r="3" spans="1:10" x14ac:dyDescent="0.3">
      <c r="A3" s="9">
        <v>2</v>
      </c>
      <c r="B3" s="9" t="s">
        <v>164</v>
      </c>
      <c r="C3" s="9" t="s">
        <v>30</v>
      </c>
      <c r="D3" s="4" t="s">
        <v>165</v>
      </c>
      <c r="E3" s="9" t="s">
        <v>18</v>
      </c>
      <c r="F3" s="5">
        <v>45551</v>
      </c>
      <c r="G3" s="5">
        <v>45646</v>
      </c>
      <c r="H3" s="4" t="s">
        <v>27</v>
      </c>
      <c r="I3" s="4">
        <v>1250</v>
      </c>
      <c r="J3" s="4">
        <v>1250</v>
      </c>
    </row>
    <row r="4" spans="1:10" ht="43.2" x14ac:dyDescent="0.3">
      <c r="A4" s="9">
        <v>3</v>
      </c>
      <c r="B4" s="9" t="s">
        <v>166</v>
      </c>
      <c r="C4" s="9" t="s">
        <v>16</v>
      </c>
      <c r="D4" s="4" t="s">
        <v>167</v>
      </c>
      <c r="E4" s="9" t="s">
        <v>18</v>
      </c>
      <c r="F4" s="5">
        <v>45597</v>
      </c>
      <c r="G4" s="5">
        <v>45642</v>
      </c>
      <c r="H4" s="4" t="s">
        <v>27</v>
      </c>
      <c r="I4" s="4">
        <v>75</v>
      </c>
      <c r="J4" s="4">
        <v>75</v>
      </c>
    </row>
    <row r="5" spans="1:10" x14ac:dyDescent="0.3">
      <c r="A5" s="9">
        <v>4</v>
      </c>
      <c r="B5" s="9" t="s">
        <v>168</v>
      </c>
      <c r="C5" s="9" t="s">
        <v>45</v>
      </c>
      <c r="D5" s="4" t="s">
        <v>169</v>
      </c>
      <c r="E5" s="9" t="s">
        <v>47</v>
      </c>
      <c r="F5" s="5">
        <v>45630</v>
      </c>
      <c r="G5" s="5">
        <v>45674</v>
      </c>
      <c r="H5" s="4" t="s">
        <v>27</v>
      </c>
      <c r="I5" s="4">
        <v>300</v>
      </c>
      <c r="J5" s="4">
        <v>316</v>
      </c>
    </row>
    <row r="6" spans="1:10" x14ac:dyDescent="0.3">
      <c r="A6" s="9">
        <v>5</v>
      </c>
      <c r="B6" s="9" t="s">
        <v>170</v>
      </c>
      <c r="C6" s="9" t="s">
        <v>171</v>
      </c>
      <c r="D6" s="4" t="s">
        <v>172</v>
      </c>
      <c r="E6" s="9" t="s">
        <v>173</v>
      </c>
      <c r="F6" s="5">
        <v>45628</v>
      </c>
      <c r="G6" s="5">
        <v>45674</v>
      </c>
      <c r="H6" s="4" t="s">
        <v>27</v>
      </c>
      <c r="I6" s="4">
        <v>3</v>
      </c>
      <c r="J6" s="4">
        <v>3</v>
      </c>
    </row>
    <row r="7" spans="1:10" x14ac:dyDescent="0.3">
      <c r="A7" s="9">
        <v>6</v>
      </c>
      <c r="B7" s="9" t="s">
        <v>174</v>
      </c>
      <c r="C7" s="9" t="s">
        <v>30</v>
      </c>
      <c r="D7" s="4" t="s">
        <v>175</v>
      </c>
      <c r="E7" s="9" t="s">
        <v>18</v>
      </c>
      <c r="F7" s="5">
        <v>45588</v>
      </c>
      <c r="G7" s="5">
        <v>45671</v>
      </c>
      <c r="H7" s="4" t="s">
        <v>27</v>
      </c>
      <c r="I7" s="4">
        <v>740</v>
      </c>
      <c r="J7" s="4">
        <v>740</v>
      </c>
    </row>
    <row r="8" spans="1:10" x14ac:dyDescent="0.3">
      <c r="A8" s="9">
        <v>7</v>
      </c>
      <c r="B8" s="9" t="s">
        <v>176</v>
      </c>
      <c r="C8" s="9" t="s">
        <v>30</v>
      </c>
      <c r="D8" s="4" t="s">
        <v>177</v>
      </c>
      <c r="E8" s="9" t="s">
        <v>18</v>
      </c>
      <c r="F8" s="5">
        <v>45614</v>
      </c>
      <c r="G8" s="5">
        <v>45685</v>
      </c>
      <c r="H8" s="4" t="s">
        <v>27</v>
      </c>
      <c r="I8" s="4">
        <v>1000</v>
      </c>
      <c r="J8" s="4">
        <v>1000</v>
      </c>
    </row>
    <row r="9" spans="1:10" ht="43.2" x14ac:dyDescent="0.3">
      <c r="A9" s="9">
        <v>8</v>
      </c>
      <c r="B9" s="9" t="s">
        <v>166</v>
      </c>
      <c r="C9" s="9" t="s">
        <v>16</v>
      </c>
      <c r="D9" s="4" t="s">
        <v>178</v>
      </c>
      <c r="E9" s="9" t="s">
        <v>18</v>
      </c>
      <c r="F9" s="5">
        <v>45629</v>
      </c>
      <c r="G9" s="5">
        <v>45688</v>
      </c>
      <c r="H9" s="4" t="s">
        <v>27</v>
      </c>
      <c r="I9" s="4">
        <v>150</v>
      </c>
      <c r="J9" s="4">
        <v>150</v>
      </c>
    </row>
    <row r="10" spans="1:10" x14ac:dyDescent="0.3">
      <c r="A10" s="9">
        <v>9</v>
      </c>
      <c r="B10" s="9"/>
      <c r="C10" s="9" t="s">
        <v>35</v>
      </c>
      <c r="D10" s="4" t="s">
        <v>177</v>
      </c>
      <c r="E10" s="9" t="s">
        <v>18</v>
      </c>
      <c r="F10" s="5">
        <v>45610</v>
      </c>
      <c r="G10" s="5">
        <v>45702</v>
      </c>
      <c r="H10" s="4" t="s">
        <v>27</v>
      </c>
      <c r="I10" s="4">
        <v>2500</v>
      </c>
      <c r="J10" s="4">
        <v>2500</v>
      </c>
    </row>
    <row r="11" spans="1:10" ht="43.2" x14ac:dyDescent="0.3">
      <c r="A11" s="9">
        <v>10</v>
      </c>
      <c r="B11" s="9" t="s">
        <v>166</v>
      </c>
      <c r="C11" s="9" t="s">
        <v>16</v>
      </c>
      <c r="D11" s="4" t="s">
        <v>179</v>
      </c>
      <c r="E11" s="9" t="s">
        <v>18</v>
      </c>
      <c r="F11" s="5">
        <v>45637</v>
      </c>
      <c r="G11" s="5">
        <v>45705</v>
      </c>
      <c r="H11" s="4" t="s">
        <v>27</v>
      </c>
      <c r="I11" s="4">
        <v>75</v>
      </c>
      <c r="J11" s="4">
        <v>75</v>
      </c>
    </row>
    <row r="12" spans="1:10" x14ac:dyDescent="0.3">
      <c r="A12" s="9">
        <v>11</v>
      </c>
      <c r="B12" s="9"/>
      <c r="C12" s="9" t="s">
        <v>35</v>
      </c>
      <c r="D12" s="4" t="s">
        <v>180</v>
      </c>
      <c r="E12" s="9" t="s">
        <v>18</v>
      </c>
      <c r="F12" s="5">
        <v>45607</v>
      </c>
      <c r="G12" s="5">
        <v>45716</v>
      </c>
      <c r="H12" s="4" t="s">
        <v>27</v>
      </c>
      <c r="I12" s="4">
        <v>2500</v>
      </c>
      <c r="J12" s="4">
        <v>2500</v>
      </c>
    </row>
    <row r="13" spans="1:10" x14ac:dyDescent="0.3">
      <c r="A13" s="9">
        <v>12</v>
      </c>
      <c r="B13" s="9" t="s">
        <v>181</v>
      </c>
      <c r="C13" s="9" t="s">
        <v>45</v>
      </c>
      <c r="D13" s="4" t="s">
        <v>182</v>
      </c>
      <c r="E13" s="9" t="s">
        <v>18</v>
      </c>
      <c r="F13" s="5">
        <v>45632</v>
      </c>
      <c r="G13" s="5">
        <v>45709</v>
      </c>
      <c r="H13" s="4" t="s">
        <v>27</v>
      </c>
      <c r="I13" s="4">
        <v>300</v>
      </c>
      <c r="J13" s="4">
        <v>300</v>
      </c>
    </row>
    <row r="14" spans="1:10" ht="28.8" x14ac:dyDescent="0.3">
      <c r="A14" s="9">
        <v>13</v>
      </c>
      <c r="B14" s="9" t="s">
        <v>183</v>
      </c>
      <c r="C14" s="9" t="s">
        <v>171</v>
      </c>
      <c r="D14" s="4" t="s">
        <v>184</v>
      </c>
      <c r="E14" s="9" t="s">
        <v>173</v>
      </c>
      <c r="F14" s="5">
        <v>45680</v>
      </c>
      <c r="G14" s="5">
        <v>45714</v>
      </c>
      <c r="H14" s="4" t="s">
        <v>27</v>
      </c>
      <c r="I14" s="4">
        <v>12</v>
      </c>
      <c r="J14" s="4">
        <v>12</v>
      </c>
    </row>
    <row r="15" spans="1:10" x14ac:dyDescent="0.3">
      <c r="A15" s="9">
        <v>14</v>
      </c>
      <c r="B15" s="9" t="s">
        <v>25</v>
      </c>
      <c r="C15" s="9" t="s">
        <v>16</v>
      </c>
      <c r="D15" s="4" t="s">
        <v>185</v>
      </c>
      <c r="E15" s="9" t="s">
        <v>18</v>
      </c>
      <c r="F15" s="5">
        <v>45678</v>
      </c>
      <c r="G15" s="5">
        <v>45733</v>
      </c>
      <c r="H15" s="4" t="s">
        <v>27</v>
      </c>
      <c r="I15" s="4">
        <v>400</v>
      </c>
      <c r="J15" s="4">
        <v>403</v>
      </c>
    </row>
    <row r="16" spans="1:10" x14ac:dyDescent="0.3">
      <c r="A16" s="9">
        <v>15</v>
      </c>
      <c r="B16" s="9" t="s">
        <v>186</v>
      </c>
      <c r="C16" s="9" t="s">
        <v>30</v>
      </c>
      <c r="D16" s="4" t="s">
        <v>187</v>
      </c>
      <c r="E16" s="9" t="s">
        <v>18</v>
      </c>
      <c r="F16" s="5">
        <v>45637</v>
      </c>
      <c r="G16" s="5">
        <v>45737</v>
      </c>
      <c r="H16" s="4" t="s">
        <v>27</v>
      </c>
      <c r="I16" s="4">
        <v>1300</v>
      </c>
      <c r="J16" s="4">
        <v>1300</v>
      </c>
    </row>
    <row r="17" spans="1:10" x14ac:dyDescent="0.3">
      <c r="A17" s="9">
        <v>16</v>
      </c>
      <c r="B17" s="9" t="s">
        <v>188</v>
      </c>
      <c r="C17" s="9" t="s">
        <v>30</v>
      </c>
      <c r="D17" s="4" t="s">
        <v>189</v>
      </c>
      <c r="E17" s="9" t="s">
        <v>18</v>
      </c>
      <c r="F17" s="5">
        <v>45637</v>
      </c>
      <c r="G17" s="5">
        <v>45743</v>
      </c>
      <c r="H17" s="4" t="s">
        <v>27</v>
      </c>
      <c r="I17" s="4">
        <v>1320</v>
      </c>
      <c r="J17" s="4">
        <v>1320</v>
      </c>
    </row>
    <row r="18" spans="1:10" x14ac:dyDescent="0.3">
      <c r="A18" s="9">
        <v>17</v>
      </c>
      <c r="B18" s="9" t="s">
        <v>190</v>
      </c>
      <c r="C18" s="9" t="s">
        <v>16</v>
      </c>
      <c r="D18" s="4" t="s">
        <v>191</v>
      </c>
      <c r="E18" s="9" t="s">
        <v>18</v>
      </c>
      <c r="F18" s="5">
        <v>45700</v>
      </c>
      <c r="G18" s="5">
        <v>45740</v>
      </c>
      <c r="H18" s="4" t="s">
        <v>27</v>
      </c>
      <c r="I18" s="4">
        <v>6</v>
      </c>
      <c r="J18" s="4">
        <v>6</v>
      </c>
    </row>
    <row r="19" spans="1:10" ht="28.8" x14ac:dyDescent="0.3">
      <c r="A19" s="9">
        <v>18</v>
      </c>
      <c r="B19" s="9" t="s">
        <v>192</v>
      </c>
      <c r="C19" s="9" t="s">
        <v>35</v>
      </c>
      <c r="D19" s="4" t="s">
        <v>193</v>
      </c>
      <c r="E19" s="9" t="s">
        <v>18</v>
      </c>
      <c r="F19" s="5">
        <v>45663</v>
      </c>
      <c r="G19" s="5">
        <v>45749</v>
      </c>
      <c r="H19" s="4" t="s">
        <v>27</v>
      </c>
      <c r="I19" s="4">
        <v>275</v>
      </c>
      <c r="J19" s="4">
        <v>275</v>
      </c>
    </row>
    <row r="20" spans="1:10" x14ac:dyDescent="0.3">
      <c r="A20" s="9">
        <v>19</v>
      </c>
      <c r="B20" s="9" t="s">
        <v>170</v>
      </c>
      <c r="C20" s="9" t="s">
        <v>171</v>
      </c>
      <c r="D20" s="4" t="s">
        <v>194</v>
      </c>
      <c r="E20" s="9" t="s">
        <v>173</v>
      </c>
      <c r="F20" s="5">
        <v>45680</v>
      </c>
      <c r="G20" s="5">
        <v>45757</v>
      </c>
      <c r="H20" s="4" t="s">
        <v>27</v>
      </c>
      <c r="I20" s="4">
        <v>17</v>
      </c>
      <c r="J20" s="4">
        <v>17</v>
      </c>
    </row>
    <row r="21" spans="1:10" x14ac:dyDescent="0.3">
      <c r="A21" s="9">
        <v>20</v>
      </c>
      <c r="B21" s="9" t="s">
        <v>195</v>
      </c>
      <c r="C21" s="9" t="s">
        <v>30</v>
      </c>
      <c r="D21" s="4" t="s">
        <v>196</v>
      </c>
      <c r="E21" s="9" t="s">
        <v>18</v>
      </c>
      <c r="F21" s="5">
        <v>45695</v>
      </c>
      <c r="G21" s="5">
        <v>45763</v>
      </c>
      <c r="H21" s="4" t="s">
        <v>27</v>
      </c>
      <c r="I21" s="4">
        <v>1240</v>
      </c>
      <c r="J21" s="4">
        <v>1240</v>
      </c>
    </row>
    <row r="22" spans="1:10" x14ac:dyDescent="0.3">
      <c r="A22" s="9">
        <v>21</v>
      </c>
      <c r="B22" s="9" t="s">
        <v>197</v>
      </c>
      <c r="C22" s="9" t="s">
        <v>16</v>
      </c>
      <c r="D22" s="4" t="s">
        <v>198</v>
      </c>
      <c r="E22" s="9" t="s">
        <v>18</v>
      </c>
      <c r="F22" s="5">
        <v>45733</v>
      </c>
      <c r="G22" s="5">
        <v>45782</v>
      </c>
      <c r="H22" s="4" t="s">
        <v>27</v>
      </c>
      <c r="I22" s="4">
        <v>25</v>
      </c>
      <c r="J22" s="4">
        <v>25</v>
      </c>
    </row>
    <row r="23" spans="1:10" ht="28.8" x14ac:dyDescent="0.3">
      <c r="A23" s="9">
        <v>22</v>
      </c>
      <c r="B23" s="9" t="s">
        <v>199</v>
      </c>
      <c r="C23" s="9" t="s">
        <v>35</v>
      </c>
      <c r="D23" s="4" t="s">
        <v>128</v>
      </c>
      <c r="E23" s="9" t="s">
        <v>18</v>
      </c>
      <c r="F23" s="5">
        <v>45741</v>
      </c>
      <c r="G23" s="5">
        <v>45800</v>
      </c>
      <c r="H23" s="4" t="s">
        <v>27</v>
      </c>
      <c r="I23" s="4">
        <v>268</v>
      </c>
      <c r="J23" s="4">
        <v>268</v>
      </c>
    </row>
    <row r="24" spans="1:10" ht="28.8" x14ac:dyDescent="0.3">
      <c r="A24" s="9">
        <v>23</v>
      </c>
      <c r="B24" s="9" t="s">
        <v>200</v>
      </c>
      <c r="C24" s="9" t="s">
        <v>30</v>
      </c>
      <c r="D24" s="4" t="s">
        <v>201</v>
      </c>
      <c r="E24" s="9" t="s">
        <v>18</v>
      </c>
      <c r="F24" s="5">
        <v>45688</v>
      </c>
      <c r="G24" s="5">
        <v>45779</v>
      </c>
      <c r="H24" s="4" t="s">
        <v>27</v>
      </c>
      <c r="I24" s="4">
        <v>1060</v>
      </c>
      <c r="J24" s="4">
        <v>1060</v>
      </c>
    </row>
    <row r="25" spans="1:10" x14ac:dyDescent="0.3">
      <c r="A25" s="9">
        <v>24</v>
      </c>
      <c r="B25" s="9" t="s">
        <v>202</v>
      </c>
      <c r="C25" s="9" t="s">
        <v>30</v>
      </c>
      <c r="D25" s="4" t="s">
        <v>203</v>
      </c>
      <c r="E25" s="9" t="s">
        <v>18</v>
      </c>
      <c r="F25" s="5">
        <v>45688</v>
      </c>
      <c r="G25" s="5">
        <v>45783</v>
      </c>
      <c r="H25" s="4" t="s">
        <v>27</v>
      </c>
      <c r="I25" s="4">
        <v>740</v>
      </c>
      <c r="J25" s="4">
        <v>740</v>
      </c>
    </row>
    <row r="26" spans="1:10" ht="28.8" x14ac:dyDescent="0.3">
      <c r="A26" s="9">
        <v>25</v>
      </c>
      <c r="B26" s="9" t="s">
        <v>204</v>
      </c>
      <c r="C26" s="9" t="s">
        <v>16</v>
      </c>
      <c r="D26" s="4" t="s">
        <v>137</v>
      </c>
      <c r="E26" s="9" t="s">
        <v>18</v>
      </c>
      <c r="F26" s="5">
        <v>45776</v>
      </c>
      <c r="G26" s="5">
        <v>45805</v>
      </c>
      <c r="H26" s="4" t="s">
        <v>27</v>
      </c>
      <c r="I26" s="4">
        <v>15</v>
      </c>
      <c r="J26" s="4">
        <v>15</v>
      </c>
    </row>
    <row r="27" spans="1:10" x14ac:dyDescent="0.3">
      <c r="A27" s="9">
        <v>26</v>
      </c>
      <c r="B27" s="9" t="s">
        <v>205</v>
      </c>
      <c r="C27" s="9" t="s">
        <v>45</v>
      </c>
      <c r="D27" s="4" t="s">
        <v>145</v>
      </c>
      <c r="E27" s="9" t="s">
        <v>47</v>
      </c>
      <c r="F27" s="5">
        <v>45768</v>
      </c>
      <c r="G27" s="5">
        <v>45812</v>
      </c>
      <c r="H27" s="4" t="s">
        <v>27</v>
      </c>
      <c r="I27" s="4">
        <v>300</v>
      </c>
      <c r="J27" s="4">
        <v>316</v>
      </c>
    </row>
    <row r="28" spans="1:10" x14ac:dyDescent="0.3">
      <c r="A28" s="9">
        <v>27</v>
      </c>
      <c r="B28" s="9" t="s">
        <v>206</v>
      </c>
      <c r="C28" s="9" t="s">
        <v>30</v>
      </c>
      <c r="D28" s="4" t="s">
        <v>142</v>
      </c>
      <c r="E28" s="9" t="s">
        <v>18</v>
      </c>
      <c r="F28" s="5">
        <v>45751</v>
      </c>
      <c r="G28" s="5">
        <v>45819</v>
      </c>
      <c r="H28" s="4" t="s">
        <v>27</v>
      </c>
      <c r="I28" s="4">
        <v>1240</v>
      </c>
      <c r="J28" s="4">
        <v>1240</v>
      </c>
    </row>
    <row r="29" spans="1:10" ht="28.8" x14ac:dyDescent="0.3">
      <c r="A29" s="9">
        <v>28</v>
      </c>
      <c r="B29" s="9" t="s">
        <v>207</v>
      </c>
      <c r="C29" s="9" t="s">
        <v>45</v>
      </c>
      <c r="D29" s="4" t="s">
        <v>149</v>
      </c>
      <c r="E29" s="9" t="s">
        <v>47</v>
      </c>
      <c r="F29" s="5">
        <v>45785</v>
      </c>
      <c r="G29" s="5">
        <v>45828</v>
      </c>
      <c r="H29" s="4" t="s">
        <v>27</v>
      </c>
      <c r="I29" s="4">
        <v>300</v>
      </c>
      <c r="J29" s="4">
        <v>315</v>
      </c>
    </row>
    <row r="30" spans="1:10" ht="28.8" x14ac:dyDescent="0.3">
      <c r="A30" s="9">
        <v>29</v>
      </c>
      <c r="B30" s="9" t="s">
        <v>39</v>
      </c>
      <c r="C30" s="9" t="s">
        <v>16</v>
      </c>
      <c r="D30" s="4" t="s">
        <v>147</v>
      </c>
      <c r="E30" s="9" t="s">
        <v>18</v>
      </c>
      <c r="F30" s="5">
        <v>45791</v>
      </c>
      <c r="G30" s="5">
        <v>45827</v>
      </c>
      <c r="H30" s="4" t="s">
        <v>27</v>
      </c>
      <c r="I30" s="4">
        <v>75</v>
      </c>
      <c r="J30" s="4">
        <v>75</v>
      </c>
    </row>
    <row r="31" spans="1:10" x14ac:dyDescent="0.3">
      <c r="A31" s="9">
        <v>30</v>
      </c>
      <c r="B31" s="9" t="s">
        <v>208</v>
      </c>
      <c r="C31" s="9" t="s">
        <v>30</v>
      </c>
      <c r="D31" s="4" t="s">
        <v>140</v>
      </c>
      <c r="E31" s="9" t="s">
        <v>18</v>
      </c>
      <c r="F31" s="5">
        <v>45744</v>
      </c>
      <c r="G31" s="5">
        <v>45805</v>
      </c>
      <c r="H31" s="4" t="s">
        <v>27</v>
      </c>
      <c r="I31" s="4">
        <v>100</v>
      </c>
      <c r="J31" s="4">
        <v>100</v>
      </c>
    </row>
    <row r="32" spans="1:10" x14ac:dyDescent="0.3">
      <c r="A32" s="9">
        <v>31</v>
      </c>
      <c r="B32" s="9" t="s">
        <v>209</v>
      </c>
      <c r="C32" s="9" t="s">
        <v>30</v>
      </c>
      <c r="D32" s="4" t="s">
        <v>144</v>
      </c>
      <c r="E32" s="9" t="s">
        <v>18</v>
      </c>
      <c r="F32" s="5">
        <v>45708</v>
      </c>
      <c r="G32" s="5">
        <v>45835</v>
      </c>
      <c r="H32" s="4" t="s">
        <v>27</v>
      </c>
      <c r="I32" s="4">
        <v>1967</v>
      </c>
      <c r="J32" s="4">
        <v>1967</v>
      </c>
    </row>
    <row r="33" spans="1:10" x14ac:dyDescent="0.3">
      <c r="A33" s="9">
        <v>32</v>
      </c>
      <c r="B33" s="9" t="s">
        <v>210</v>
      </c>
      <c r="C33" s="9" t="s">
        <v>16</v>
      </c>
      <c r="D33" s="4" t="s">
        <v>151</v>
      </c>
      <c r="E33" s="9" t="s">
        <v>18</v>
      </c>
      <c r="F33" s="5">
        <v>45806</v>
      </c>
      <c r="G33" s="5">
        <v>45846</v>
      </c>
      <c r="H33" s="4" t="s">
        <v>27</v>
      </c>
      <c r="I33" s="4">
        <v>12</v>
      </c>
      <c r="J33" s="4">
        <v>12</v>
      </c>
    </row>
    <row r="34" spans="1:10" ht="28.8" x14ac:dyDescent="0.3">
      <c r="A34" s="9">
        <v>33</v>
      </c>
      <c r="B34" s="9" t="s">
        <v>211</v>
      </c>
      <c r="C34" s="9" t="s">
        <v>30</v>
      </c>
      <c r="D34" s="4" t="s">
        <v>152</v>
      </c>
      <c r="E34" s="9" t="s">
        <v>18</v>
      </c>
      <c r="F34" s="5">
        <v>45813</v>
      </c>
      <c r="G34" s="5">
        <v>45847</v>
      </c>
      <c r="H34" s="4" t="s">
        <v>27</v>
      </c>
      <c r="I34" s="4">
        <v>6</v>
      </c>
      <c r="J34" s="4">
        <v>6</v>
      </c>
    </row>
    <row r="35" spans="1:10" ht="28.8" x14ac:dyDescent="0.3">
      <c r="A35" s="9">
        <v>34</v>
      </c>
      <c r="B35" s="9" t="s">
        <v>212</v>
      </c>
      <c r="C35" s="9" t="s">
        <v>45</v>
      </c>
      <c r="D35" s="4" t="s">
        <v>153</v>
      </c>
      <c r="E35" s="9" t="s">
        <v>47</v>
      </c>
      <c r="F35" s="5">
        <v>45811</v>
      </c>
      <c r="G35" s="5">
        <v>45849</v>
      </c>
      <c r="H35" s="4" t="s">
        <v>27</v>
      </c>
      <c r="I35" s="4">
        <v>300</v>
      </c>
      <c r="J35" s="4">
        <v>308</v>
      </c>
    </row>
    <row r="36" spans="1:10" ht="28.8" x14ac:dyDescent="0.3">
      <c r="A36" s="9">
        <v>34.1</v>
      </c>
      <c r="B36" s="9" t="s">
        <v>212</v>
      </c>
      <c r="C36" s="9" t="s">
        <v>45</v>
      </c>
      <c r="D36" s="4" t="s">
        <v>153</v>
      </c>
      <c r="E36" s="9" t="s">
        <v>47</v>
      </c>
      <c r="F36" s="5">
        <v>45811</v>
      </c>
      <c r="G36" s="5">
        <v>45859</v>
      </c>
      <c r="H36" s="4" t="s">
        <v>27</v>
      </c>
      <c r="I36" s="4"/>
      <c r="J36" s="4">
        <v>242</v>
      </c>
    </row>
    <row r="37" spans="1:10" x14ac:dyDescent="0.3">
      <c r="A37" s="9">
        <v>35</v>
      </c>
      <c r="B37" s="9" t="s">
        <v>213</v>
      </c>
      <c r="C37" s="9" t="s">
        <v>45</v>
      </c>
      <c r="D37" s="4" t="s">
        <v>150</v>
      </c>
      <c r="E37" s="9" t="s">
        <v>47</v>
      </c>
      <c r="F37" s="5">
        <v>45800</v>
      </c>
      <c r="G37" s="5">
        <v>45839</v>
      </c>
      <c r="H37" s="4" t="s">
        <v>27</v>
      </c>
      <c r="I37" s="4">
        <v>300</v>
      </c>
      <c r="J37" s="4">
        <v>312</v>
      </c>
    </row>
    <row r="38" spans="1:10" x14ac:dyDescent="0.3">
      <c r="A38" s="9">
        <v>36</v>
      </c>
      <c r="B38" s="9" t="s">
        <v>214</v>
      </c>
      <c r="C38" s="9" t="s">
        <v>45</v>
      </c>
      <c r="D38" s="4" t="s">
        <v>155</v>
      </c>
      <c r="E38" s="9" t="s">
        <v>47</v>
      </c>
      <c r="F38" s="5">
        <v>45812</v>
      </c>
      <c r="G38" s="5">
        <v>45848</v>
      </c>
      <c r="H38" s="4" t="s">
        <v>27</v>
      </c>
      <c r="I38" s="4">
        <v>300</v>
      </c>
      <c r="J38" s="4">
        <v>304</v>
      </c>
    </row>
    <row r="39" spans="1:10" x14ac:dyDescent="0.3">
      <c r="A39" s="9">
        <v>37</v>
      </c>
      <c r="B39" s="9" t="s">
        <v>215</v>
      </c>
      <c r="C39" s="9" t="s">
        <v>30</v>
      </c>
      <c r="D39" s="4" t="s">
        <v>133</v>
      </c>
      <c r="E39" s="9" t="s">
        <v>18</v>
      </c>
      <c r="F39" s="5">
        <v>45761</v>
      </c>
      <c r="G39" s="5">
        <v>45847</v>
      </c>
      <c r="H39" s="4" t="s">
        <v>27</v>
      </c>
      <c r="I39" s="4">
        <v>1602</v>
      </c>
      <c r="J39" s="4">
        <v>1602</v>
      </c>
    </row>
    <row r="40" spans="1:10" ht="28.8" x14ac:dyDescent="0.3">
      <c r="A40" s="9">
        <v>38</v>
      </c>
      <c r="B40" s="9" t="s">
        <v>216</v>
      </c>
      <c r="C40" s="9" t="s">
        <v>16</v>
      </c>
      <c r="D40" s="4" t="s">
        <v>157</v>
      </c>
      <c r="E40" s="9" t="s">
        <v>18</v>
      </c>
      <c r="F40" s="5">
        <v>45813</v>
      </c>
      <c r="G40" s="5">
        <v>45860</v>
      </c>
      <c r="H40" s="4" t="s">
        <v>27</v>
      </c>
      <c r="I40" s="4">
        <v>10</v>
      </c>
      <c r="J40" s="4">
        <v>10</v>
      </c>
    </row>
    <row r="41" spans="1:10" ht="28.8" x14ac:dyDescent="0.3">
      <c r="A41" s="9">
        <v>29</v>
      </c>
      <c r="B41" s="9" t="s">
        <v>217</v>
      </c>
      <c r="C41" s="9" t="s">
        <v>16</v>
      </c>
      <c r="D41" s="4" t="s">
        <v>158</v>
      </c>
      <c r="E41" s="9" t="s">
        <v>18</v>
      </c>
      <c r="F41" s="5">
        <v>45817</v>
      </c>
      <c r="G41" s="5">
        <v>45868</v>
      </c>
      <c r="H41" s="4" t="s">
        <v>27</v>
      </c>
      <c r="I41" s="4">
        <v>1000</v>
      </c>
      <c r="J41" s="4">
        <v>1000</v>
      </c>
    </row>
    <row r="42" spans="1:10" ht="43.2" x14ac:dyDescent="0.3">
      <c r="A42" s="9">
        <v>30</v>
      </c>
      <c r="B42" s="9" t="s">
        <v>218</v>
      </c>
      <c r="C42" s="9" t="s">
        <v>35</v>
      </c>
      <c r="D42" s="4" t="s">
        <v>159</v>
      </c>
      <c r="E42" s="9" t="s">
        <v>18</v>
      </c>
      <c r="F42" s="5">
        <v>45819</v>
      </c>
      <c r="G42" s="5">
        <v>45875</v>
      </c>
      <c r="H42" s="4" t="s">
        <v>27</v>
      </c>
      <c r="I42" s="4">
        <v>268</v>
      </c>
      <c r="J42" s="4">
        <v>268</v>
      </c>
    </row>
    <row r="43" spans="1:10" x14ac:dyDescent="0.3">
      <c r="A43" s="9">
        <v>31</v>
      </c>
      <c r="B43" s="9" t="s">
        <v>219</v>
      </c>
      <c r="C43" s="9" t="s">
        <v>30</v>
      </c>
      <c r="D43" s="4" t="s">
        <v>156</v>
      </c>
      <c r="E43" s="9" t="s">
        <v>18</v>
      </c>
      <c r="F43" s="5">
        <v>45806</v>
      </c>
      <c r="G43" s="5">
        <v>45877</v>
      </c>
      <c r="H43" s="4" t="s">
        <v>27</v>
      </c>
      <c r="I43" s="4">
        <v>1218</v>
      </c>
      <c r="J43" s="4">
        <v>1218</v>
      </c>
    </row>
    <row r="44" spans="1:10" ht="28.8" x14ac:dyDescent="0.3">
      <c r="A44" s="9">
        <v>32</v>
      </c>
      <c r="B44" s="9" t="s">
        <v>39</v>
      </c>
      <c r="C44" s="9" t="s">
        <v>16</v>
      </c>
      <c r="D44" s="4" t="s">
        <v>160</v>
      </c>
      <c r="E44" s="9" t="s">
        <v>18</v>
      </c>
      <c r="F44" s="5">
        <v>45845</v>
      </c>
      <c r="G44" s="5">
        <v>45887</v>
      </c>
      <c r="H44" s="4" t="s">
        <v>27</v>
      </c>
      <c r="I44" s="4">
        <v>75</v>
      </c>
      <c r="J44" s="4">
        <v>75</v>
      </c>
    </row>
    <row r="45" spans="1:10" ht="28.8" x14ac:dyDescent="0.3">
      <c r="A45" s="9">
        <v>33</v>
      </c>
      <c r="B45" s="9" t="s">
        <v>25</v>
      </c>
      <c r="C45" s="9" t="s">
        <v>16</v>
      </c>
      <c r="D45" s="4" t="s">
        <v>26</v>
      </c>
      <c r="E45" s="9" t="s">
        <v>18</v>
      </c>
      <c r="F45" s="5">
        <v>45859</v>
      </c>
      <c r="G45" s="5">
        <v>45924</v>
      </c>
      <c r="H45" s="4" t="s">
        <v>27</v>
      </c>
      <c r="I45" s="4">
        <v>200</v>
      </c>
      <c r="J45" s="4">
        <v>200</v>
      </c>
    </row>
    <row r="46" spans="1:10" ht="28.8" x14ac:dyDescent="0.3">
      <c r="A46" s="9">
        <v>34</v>
      </c>
      <c r="B46" s="9" t="s">
        <v>39</v>
      </c>
      <c r="C46" s="9" t="s">
        <v>16</v>
      </c>
      <c r="D46" s="4" t="s">
        <v>40</v>
      </c>
      <c r="E46" s="9" t="s">
        <v>18</v>
      </c>
      <c r="F46" s="5">
        <v>45897</v>
      </c>
      <c r="G46" s="5">
        <v>45931</v>
      </c>
      <c r="H46" s="4" t="s">
        <v>27</v>
      </c>
      <c r="I46" s="4">
        <v>75</v>
      </c>
      <c r="J46" s="4">
        <v>75</v>
      </c>
    </row>
    <row r="47" spans="1:10" ht="28.8" x14ac:dyDescent="0.3">
      <c r="A47" s="9">
        <v>35</v>
      </c>
      <c r="B47" s="9" t="s">
        <v>44</v>
      </c>
      <c r="C47" s="9" t="s">
        <v>45</v>
      </c>
      <c r="D47" s="4" t="s">
        <v>46</v>
      </c>
      <c r="E47" s="9" t="s">
        <v>47</v>
      </c>
      <c r="F47" s="5">
        <v>45884</v>
      </c>
      <c r="G47" s="5">
        <v>45933</v>
      </c>
      <c r="H47" s="4" t="s">
        <v>27</v>
      </c>
      <c r="I47" s="4">
        <v>300</v>
      </c>
      <c r="J47" s="4">
        <v>310</v>
      </c>
    </row>
    <row r="48" spans="1:10" ht="28.8" x14ac:dyDescent="0.3">
      <c r="A48" s="9">
        <v>35.1</v>
      </c>
      <c r="B48" s="9" t="s">
        <v>44</v>
      </c>
      <c r="C48" s="9" t="s">
        <v>45</v>
      </c>
      <c r="D48" s="4" t="s">
        <v>46</v>
      </c>
      <c r="E48" s="9" t="s">
        <v>47</v>
      </c>
      <c r="F48" s="5">
        <v>45884</v>
      </c>
      <c r="G48" s="5">
        <v>45945</v>
      </c>
      <c r="H48" s="4" t="s">
        <v>27</v>
      </c>
      <c r="I48" s="4"/>
      <c r="J48" s="4">
        <v>367</v>
      </c>
    </row>
  </sheetData>
  <autoFilter ref="A1:J44" xr:uid="{7C9B9690-925E-4156-9845-B66074204283}"/>
  <pageMargins left="0.7" right="0.7" top="0.75" bottom="0.75" header="0.3" footer="0.3"/>
  <pageSetup orientation="portrait" r:id="rId1"/>
  <customProperties>
    <customPr name="LastActiv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711f3d-7a7b-4f5e-ab71-962bd2d4b9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44403F9710514886554267EA7437D9" ma:contentTypeVersion="14" ma:contentTypeDescription="Create a new document." ma:contentTypeScope="" ma:versionID="68f556e3d9854493c1326cc1c56fd3d5">
  <xsd:schema xmlns:xsd="http://www.w3.org/2001/XMLSchema" xmlns:xs="http://www.w3.org/2001/XMLSchema" xmlns:p="http://schemas.microsoft.com/office/2006/metadata/properties" xmlns:ns3="f7b43edd-d268-4854-a577-29fee13294c7" xmlns:ns4="4b711f3d-7a7b-4f5e-ab71-962bd2d4b97c" targetNamespace="http://schemas.microsoft.com/office/2006/metadata/properties" ma:root="true" ma:fieldsID="bf07e6a602c38abda16694ee7851416d" ns3:_="" ns4:_="">
    <xsd:import namespace="f7b43edd-d268-4854-a577-29fee13294c7"/>
    <xsd:import namespace="4b711f3d-7a7b-4f5e-ab71-962bd2d4b97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3edd-d268-4854-a577-29fee13294c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11f3d-7a7b-4f5e-ab71-962bd2d4b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77D55-1774-4DEA-992B-7180FA62CA25}">
  <ds:schemaRefs>
    <ds:schemaRef ds:uri="http://schemas.microsoft.com/office/2006/metadata/properties"/>
    <ds:schemaRef ds:uri="http://schemas.microsoft.com/office/infopath/2007/PartnerControls"/>
    <ds:schemaRef ds:uri="4b711f3d-7a7b-4f5e-ab71-962bd2d4b97c"/>
  </ds:schemaRefs>
</ds:datastoreItem>
</file>

<file path=customXml/itemProps2.xml><?xml version="1.0" encoding="utf-8"?>
<ds:datastoreItem xmlns:ds="http://schemas.openxmlformats.org/officeDocument/2006/customXml" ds:itemID="{7F36E93C-AF4E-4F84-A574-5EC89A6559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2939D-B6F1-4950-9A75-6FBEFA20EF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43edd-d268-4854-a577-29fee13294c7"/>
    <ds:schemaRef ds:uri="4b711f3d-7a7b-4f5e-ab71-962bd2d4b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 Page</vt:lpstr>
      <vt:lpstr>Live Projects</vt:lpstr>
      <vt:lpstr>Projects Yet to be Started</vt:lpstr>
      <vt:lpstr>Upcoming Projects</vt:lpstr>
      <vt:lpstr>Deliverable Status</vt:lpstr>
      <vt:lpstr>Closed Projects</vt:lpstr>
      <vt:lpstr>'Cover Page'!Print_Area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Phronesis</dc:creator>
  <cp:keywords/>
  <dc:description/>
  <cp:lastModifiedBy>Phronesis</cp:lastModifiedBy>
  <cp:revision/>
  <dcterms:created xsi:type="dcterms:W3CDTF">2022-09-19T11:41:08Z</dcterms:created>
  <dcterms:modified xsi:type="dcterms:W3CDTF">2026-01-27T14:03:41Z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0x0101004F44403F9710514886554267EA7437D9</vt:lpwstr>
  </property>
</Properties>
</file>